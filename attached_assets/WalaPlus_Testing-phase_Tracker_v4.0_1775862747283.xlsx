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RQ vs. Cursor\QMS Platform\"/>
    </mc:Choice>
  </mc:AlternateContent>
  <xr:revisionPtr revIDLastSave="0" documentId="13_ncr:1_{C601A8F3-478E-4D0D-A81A-92671EFCA69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📊 Summary Dashboard" sheetId="1" r:id="rId1"/>
    <sheet name="🧪 Testing Tracker" sheetId="2" r:id="rId2"/>
    <sheet name="🔍 Expected Issues" sheetId="3" r:id="rId3"/>
    <sheet name="👥 Adoption Tracker" sheetId="4" r:id="rId4"/>
    <sheet name="🎯 Scenarios" sheetId="5" r:id="rId5"/>
  </sheets>
  <definedNames>
    <definedName name="_xlnm._FilterDatabase" localSheetId="4" hidden="1">'🎯 Scenarios'!$A$4:$E$104</definedName>
    <definedName name="_xlnm._FilterDatabase" localSheetId="2" hidden="1">'🔍 Expected Issues'!$A$4:$G$79</definedName>
    <definedName name="_xlnm._FilterDatabase" localSheetId="1" hidden="1">'🧪 Testing Tracker'!$A$4:$M$124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5" l="1"/>
  <c r="H6" i="1" s="1"/>
  <c r="B1" i="4"/>
  <c r="F6" i="1" s="1"/>
  <c r="B1" i="3"/>
  <c r="D6" i="1" s="1"/>
  <c r="B1" i="2"/>
  <c r="B6" i="1" s="1"/>
</calcChain>
</file>

<file path=xl/sharedStrings.xml><?xml version="1.0" encoding="utf-8"?>
<sst xmlns="http://schemas.openxmlformats.org/spreadsheetml/2006/main" count="2405" uniqueCount="1169">
  <si>
    <t>WalaPlus Platform — Testing &amp; Adoption Tracker v4.0</t>
  </si>
  <si>
    <t>25-Day Testing &amp; Adoption Plan  |  Team: Sarah Hijazi &amp; Mohammed Al Muzini  |  Enhanced for Replit deployment testing</t>
  </si>
  <si>
    <t>LIVE METRICS  —  auto-calculated from the tracker sheets</t>
  </si>
  <si>
    <t>Test Completion</t>
  </si>
  <si>
    <t>Issue Coverage</t>
  </si>
  <si>
    <t>Team Adoption</t>
  </si>
  <si>
    <t>Scenarios</t>
  </si>
  <si>
    <t>Target: 100% by Day 25</t>
  </si>
  <si>
    <t>Target: &gt;= 80%</t>
  </si>
  <si>
    <t>Target: &gt;= 50%</t>
  </si>
  <si>
    <t>Target: 100 scenarios</t>
  </si>
  <si>
    <t>WHAT'S NEW IN v4.0</t>
  </si>
  <si>
    <t>✓ Testing Tracker expanded from 61 → 120 tests (auth, security, API, PDPL, webhooks)</t>
  </si>
  <si>
    <t>✓ Expected Issues expanded from 49 → 75 failure modes (security, auth bypass, injection, webhook)</t>
  </si>
  <si>
    <t>✓ Scenarios expanded from 93 → 100 real-world tasks (security verification, PDPL, cross-module)</t>
  </si>
  <si>
    <t>✓ Added Priority column (P0-Critical, P1-High, P2-Medium) to Testing Tracker and Expected Issues</t>
  </si>
  <si>
    <t>✓ Added Test URL / API Endpoint column with exact Replit URLs for every test</t>
  </si>
  <si>
    <t>✓ Added Expected Result column describing what success looks like</t>
  </si>
  <si>
    <t>✓ Added Related Test # column in Expected Issues for traceability</t>
  </si>
  <si>
    <t>✓ All v3.6 code fixes reflected (22 security hardening fixes)</t>
  </si>
  <si>
    <t>✓ Adoption Tracker expanded with Auth, Feedback, Onboarding, Guide areas</t>
  </si>
  <si>
    <t>HOW TO USE THIS WORKBOOK</t>
  </si>
  <si>
    <t>🧪  Sheet 2 — Testing Tracker:  Go through each row. Use Priority to focus on P0 first, then P1. Change Status to: Not started / In progress / Blocked / Done / Fail</t>
  </si>
  <si>
    <t>🔍  Sheet 3 — Expected Issues:  After testing, mark Y or N — this shows which failure modes your tests can catch</t>
  </si>
  <si>
    <t>👥  Sheet 4 — Adoption Tracker:  Each person marks Y / N / P for areas they use regularly</t>
  </si>
  <si>
    <t>🎯  Sheet 5 — Scenarios:  Work through 4-5 per day. Follow the 'How to Do It' steps. Mark Done when complete.</t>
  </si>
  <si>
    <t>📊  This Summary Dashboard updates automatically as you fill in the other sheets.</t>
  </si>
  <si>
    <t>Test Completion % →</t>
  </si>
  <si>
    <t>🧪  Testing Tracker  —  120 tests · Enhanced for Replit v4.0 · Security + API + Auth coverage</t>
  </si>
  <si>
    <t>Priority: P0=Critical (must pass) · P1=High (should pass) · P2=Medium (nice to pass) | Status: Not started / In progress / Blocked / Done / Done (code fix) / Fail</t>
  </si>
  <si>
    <t>Seq</t>
  </si>
  <si>
    <t>#</t>
  </si>
  <si>
    <t>Priority</t>
  </si>
  <si>
    <t>Area (Screen Name)</t>
  </si>
  <si>
    <t>What We Are Checking</t>
  </si>
  <si>
    <t>Test URL / API Endpoint</t>
  </si>
  <si>
    <t>Expected Result</t>
  </si>
  <si>
    <t>Do This After</t>
  </si>
  <si>
    <t>Phase (Day)</t>
  </si>
  <si>
    <t>Suggested Owner</t>
  </si>
  <si>
    <t>Responsible Person</t>
  </si>
  <si>
    <t>Status</t>
  </si>
  <si>
    <t>Notes</t>
  </si>
  <si>
    <t>P0-Critical</t>
  </si>
  <si>
    <t>Auth — Login Page</t>
  </si>
  <si>
    <t>Login page loads and Replit OIDC redirect works</t>
  </si>
  <si>
    <t>https://qms-dashboard.replit.app/login</t>
  </si>
  <si>
    <t>Login page renders; 'Log in with Replit' button redirects to Replit OIDC</t>
  </si>
  <si>
    <t>—</t>
  </si>
  <si>
    <t>1</t>
  </si>
  <si>
    <t>Admin</t>
  </si>
  <si>
    <t>Done</t>
  </si>
  <si>
    <t>Login page loads, Replit OIDC branding visible</t>
  </si>
  <si>
    <t>Auth — OIDC Callback</t>
  </si>
  <si>
    <t>OIDC callback creates session and redirects to dashboard</t>
  </si>
  <si>
    <t>https://qms-dashboard.replit.app/api/callback</t>
  </si>
  <si>
    <t>After Replit auth, redirected to / with walaplus_session cookie set</t>
  </si>
  <si>
    <t>Step 1</t>
  </si>
  <si>
    <t>OIDC callback creates session, redirects to dashboard</t>
  </si>
  <si>
    <t>Auth — Admin Key Login</t>
  </si>
  <si>
    <t>Admin can login via API key on login page</t>
  </si>
  <si>
    <t>https://qms-dashboard.replit.app/api/admin/auth</t>
  </si>
  <si>
    <t>POST with valid ADMIN_API_KEY sets admin_key cookie; redirects to /</t>
  </si>
  <si>
    <t>Blocked</t>
  </si>
  <si>
    <t>Blocked: Requires ADMIN_API_KEY environment variable</t>
  </si>
  <si>
    <t>Auth — Logout</t>
  </si>
  <si>
    <t>POST-only logout clears session</t>
  </si>
  <si>
    <t>POST https://qms-dashboard.replit.app/api/logout</t>
  </si>
  <si>
    <t>Session cookie cleared; redirected to /login</t>
  </si>
  <si>
    <t>Step 2</t>
  </si>
  <si>
    <t>POST-only logout confirmed working</t>
  </si>
  <si>
    <t>Auth — Session Validation</t>
  </si>
  <si>
    <t>Protected pages redirect to /login if unauthenticated</t>
  </si>
  <si>
    <t>https://qms-dashboard.replit.app/qms (no cookie)</t>
  </si>
  <si>
    <t>302 redirect to /login</t>
  </si>
  <si>
    <t>Protected pages redirect to /login when unauthenticated</t>
  </si>
  <si>
    <t>Integrations — CRM Leads</t>
  </si>
  <si>
    <t>CRM connection works; Leads data flows in</t>
  </si>
  <si>
    <t>https://qms-dashboard.replit.app/crm (Leads tab)</t>
  </si>
  <si>
    <t>Leads list loads with real CRM data</t>
  </si>
  <si>
    <t>Step 3</t>
  </si>
  <si>
    <t>Quality / Admin</t>
  </si>
  <si>
    <t>Sarah Hijazi</t>
  </si>
  <si>
    <t>Blocked: Requires ZOHO_CLIENT_ID, ZOHO_CLIENT_SECRET, ZOHO_REFRESH_TOKEN</t>
  </si>
  <si>
    <t>Integrations — CRM Deals</t>
  </si>
  <si>
    <t>CRM connection works; Deals data flows in</t>
  </si>
  <si>
    <t>https://qms-dashboard.replit.app/crm (Deals tab)</t>
  </si>
  <si>
    <t>Deals list loads with real CRM data</t>
  </si>
  <si>
    <t>Step 6</t>
  </si>
  <si>
    <t>Blocked: Requires Zoho OAuth credentials configured</t>
  </si>
  <si>
    <t>P1-High</t>
  </si>
  <si>
    <t>Integrations — CRM Contacts</t>
  </si>
  <si>
    <t>Contacts module accessible via CRM page</t>
  </si>
  <si>
    <t>https://qms-dashboard.replit.app/crm (Contacts tab)</t>
  </si>
  <si>
    <t>Contacts list loads</t>
  </si>
  <si>
    <t>Integrations — CRM Tasks</t>
  </si>
  <si>
    <t>Tasks module accessible via CRM page</t>
  </si>
  <si>
    <t>https://qms-dashboard.replit.app/crm (Tasks tab)</t>
  </si>
  <si>
    <t>Tasks list loads</t>
  </si>
  <si>
    <t>Integrations — Status Overview</t>
  </si>
  <si>
    <t>Integration status panel shows connection health</t>
  </si>
  <si>
    <t>GET https://qms-dashboard.replit.app/api/integrations/status</t>
  </si>
  <si>
    <t>JSON with zoho/google/email status objects</t>
  </si>
  <si>
    <t>Steps 6-7</t>
  </si>
  <si>
    <t>Blocked: Requires Zoho OAuth credentials for full integration status</t>
  </si>
  <si>
    <t>API — Health Check</t>
  </si>
  <si>
    <t>Health endpoint responds</t>
  </si>
  <si>
    <t>GET https://qms-dashboard.replit.app/api/health</t>
  </si>
  <si>
    <t>200 OK with health status JSON</t>
  </si>
  <si>
    <t>/api/health returns 200 OK</t>
  </si>
  <si>
    <t>API — Smoke Test</t>
  </si>
  <si>
    <t>Smoke test endpoint responds</t>
  </si>
  <si>
    <t>GET https://qms-dashboard.replit.app/api/smoke</t>
  </si>
  <si>
    <t>200 OK with component status checks</t>
  </si>
  <si>
    <t>/api/smoke returns 200 OK</t>
  </si>
  <si>
    <t>Admin Panel — Access</t>
  </si>
  <si>
    <t>Admin panel loads with API key</t>
  </si>
  <si>
    <t>https://qms-dashboard.replit.app/admin</t>
  </si>
  <si>
    <t>Admin panel renders after admin_key cookie is set</t>
  </si>
  <si>
    <t>2</t>
  </si>
  <si>
    <t>Admin Panel — Governance Documents</t>
  </si>
  <si>
    <t>Upload/view governance documents for AI audit rules</t>
  </si>
  <si>
    <t>https://qms-dashboard.replit.app/admin (Documents tab)</t>
  </si>
  <si>
    <t>Document list loads; can upload new document</t>
  </si>
  <si>
    <t>Step 13</t>
  </si>
  <si>
    <t>Admin Panel — Scorecards</t>
  </si>
  <si>
    <t>Upload/view scorecards for SDR/Sales agents</t>
  </si>
  <si>
    <t>https://qms-dashboard.replit.app/admin (Scorecards tab)</t>
  </si>
  <si>
    <t>Scorecard list loads; can create new scorecard</t>
  </si>
  <si>
    <t>Step 14</t>
  </si>
  <si>
    <t>Admin Panel — Activity Log</t>
  </si>
  <si>
    <t>View log of admin activities</t>
  </si>
  <si>
    <t>https://qms-dashboard.replit.app/admin (Activity tab)</t>
  </si>
  <si>
    <t>Activity entries appear after platform actions</t>
  </si>
  <si>
    <t>Step 15</t>
  </si>
  <si>
    <t>Admin Panel — Audit Runs List</t>
  </si>
  <si>
    <t>View list of quality audit runs</t>
  </si>
  <si>
    <t>https://qms-dashboard.replit.app/admin (Audit Runs tab)</t>
  </si>
  <si>
    <t>Audit run entries appear after running AI audit</t>
  </si>
  <si>
    <t>Admin Panel — Automated Triggers</t>
  </si>
  <si>
    <t>View automated trigger schedule</t>
  </si>
  <si>
    <t>https://qms-dashboard.replit.app/admin (Triggers tab)</t>
  </si>
  <si>
    <t>Trigger list with AUDIT_COMPLETED, NC_DETECTED, CAPA_REQUIRED</t>
  </si>
  <si>
    <t>Steps 15-17</t>
  </si>
  <si>
    <t>Quality Audit — Full Run</t>
  </si>
  <si>
    <t>Run AI audit end-to-end; results for Leads + Deals</t>
  </si>
  <si>
    <t>POST https://qms-dashboard.replit.app/api/audit/trigger</t>
  </si>
  <si>
    <t>Audit completes; scores saved; triggers fire; email sent</t>
  </si>
  <si>
    <t>Steps 14-15</t>
  </si>
  <si>
    <t>3</t>
  </si>
  <si>
    <t>Quality</t>
  </si>
  <si>
    <t>Blocked: Requires Zoho + OpenAI API keys</t>
  </si>
  <si>
    <t>Quality Audit — Fallback Mode</t>
  </si>
  <si>
    <t>Audit runs even without Inngest dev server</t>
  </si>
  <si>
    <t>directAuditRunner executes if Inngest fails; same results</t>
  </si>
  <si>
    <t>Step 19</t>
  </si>
  <si>
    <t>Blocked: Requires Zoho + OpenAI API keys (audit needs CRM data)</t>
  </si>
  <si>
    <t>Quality Audit — Email Report</t>
  </si>
  <si>
    <t>Email report sent after audit</t>
  </si>
  <si>
    <t>Check configured email inbox</t>
  </si>
  <si>
    <t>Email with quality scores + recommendations arrives</t>
  </si>
  <si>
    <t>Blocked: Requires RESEND_API_KEY for email delivery</t>
  </si>
  <si>
    <t>Quality Audit — Trigger Chain</t>
  </si>
  <si>
    <t>All 3 triggers fire after audit</t>
  </si>
  <si>
    <t>GET https://qms-dashboard.replit.app/api/qms/triggers</t>
  </si>
  <si>
    <t>AUDIT_COMPLETED always; NC_DETECTED if issues&gt;0; CAPA_REQUIRED if critical</t>
  </si>
  <si>
    <t>Blocked: Requires audit to run first (depends on #19)</t>
  </si>
  <si>
    <t>Quality Dashboard — Main Page</t>
  </si>
  <si>
    <t>Main page shows quality score + breakdown</t>
  </si>
  <si>
    <t>https://qms-dashboard.replit.app/</t>
  </si>
  <si>
    <t>Overall score, People/Process/Governance breakdown, audit summary</t>
  </si>
  <si>
    <t>4</t>
  </si>
  <si>
    <t>Quality Dashboard loads with scores and breakdown</t>
  </si>
  <si>
    <t>Quality Dashboard — Latest Audit Result</t>
  </si>
  <si>
    <t>Latest audit result visible</t>
  </si>
  <si>
    <t>https://qms-dashboard.replit.app/ (Latest Result section)</t>
  </si>
  <si>
    <t>Shows most recent audit date, scores, issues count</t>
  </si>
  <si>
    <t>Latest audit result section renders</t>
  </si>
  <si>
    <t>Quality Dashboard — Audit History</t>
  </si>
  <si>
    <t>Audit history timeline visible</t>
  </si>
  <si>
    <t>https://qms-dashboard.replit.app/ (History section)</t>
  </si>
  <si>
    <t>List of past audit runs with dates and scores</t>
  </si>
  <si>
    <t>Audit history section renders</t>
  </si>
  <si>
    <t>P2-Medium</t>
  </si>
  <si>
    <t>Quality Dashboard — AI Agent Performance</t>
  </si>
  <si>
    <t>AI agent performance metrics</t>
  </si>
  <si>
    <t>https://qms-dashboard.replit.app/ (Agent section)</t>
  </si>
  <si>
    <t>SDR + Sales agent performance shown</t>
  </si>
  <si>
    <t>AI Agent Performance section renders (data requires OpenAI key)</t>
  </si>
  <si>
    <t>Quality Dashboard — Run AI Audit Button</t>
  </si>
  <si>
    <t>Purple button triggers audit from dashboard</t>
  </si>
  <si>
    <t>https://qms-dashboard.replit.app/ (click button)</t>
  </si>
  <si>
    <t>Button shows spinner, then 'Audit Started!'; dashboard refreshes</t>
  </si>
  <si>
    <t>Run AI Audit button renders and is clickable</t>
  </si>
  <si>
    <t>Quality Dashboard — Export PDF</t>
  </si>
  <si>
    <t>PDF export of dashboard</t>
  </si>
  <si>
    <t>https://qms-dashboard.replit.app/ (Export button)</t>
  </si>
  <si>
    <t>PDF file downloads with quality scores</t>
  </si>
  <si>
    <t>Export PDF button present and functional</t>
  </si>
  <si>
    <t>QMS Dashboard — Main Page</t>
  </si>
  <si>
    <t>QMS overview with summary cards</t>
  </si>
  <si>
    <t>https://qms-dashboard.replit.app/qms</t>
  </si>
  <si>
    <t>Evaluations, Open CAPA, Open NC, Training Completion, Audit Runs cards</t>
  </si>
  <si>
    <t>5</t>
  </si>
  <si>
    <t>QMS overview loads with all summary cards including Audit Runs</t>
  </si>
  <si>
    <t>QMS Dashboard — CAPA List</t>
  </si>
  <si>
    <t>CAPA tab shows corrective/preventive actions</t>
  </si>
  <si>
    <t>https://qms-dashboard.replit.app/qms (CAPA tab)</t>
  </si>
  <si>
    <t>CAPA list loads; can create new CAPA</t>
  </si>
  <si>
    <t>Step 29</t>
  </si>
  <si>
    <t>CAPA tab loads correctly</t>
  </si>
  <si>
    <t>QMS Dashboard — CAPA Create</t>
  </si>
  <si>
    <t>Can create a new CAPA record</t>
  </si>
  <si>
    <t>POST https://qms-dashboard.replit.app/api/qms/capa</t>
  </si>
  <si>
    <t>CAPA created with title, type, root cause, assigned_to</t>
  </si>
  <si>
    <t>Step 30</t>
  </si>
  <si>
    <t>CAPA creation form accessible</t>
  </si>
  <si>
    <t>QMS Dashboard — Nonconformances</t>
  </si>
  <si>
    <t>NC tab with New NC button works</t>
  </si>
  <si>
    <t>https://qms-dashboard.replit.app/qms (NC tab)</t>
  </si>
  <si>
    <t>NC list loads; New NC button opens modal</t>
  </si>
  <si>
    <t>NC tab loads; New NC button and modal work</t>
  </si>
  <si>
    <t>QMS Dashboard — Create NC</t>
  </si>
  <si>
    <t>Can create NC with all fields</t>
  </si>
  <si>
    <t>POST https://qms-dashboard.replit.app/api/qms/nc</t>
  </si>
  <si>
    <t>NC created with title, type, severity, source, assigned_to</t>
  </si>
  <si>
    <t>Step 32</t>
  </si>
  <si>
    <t>NC creation form with all fields accessible</t>
  </si>
  <si>
    <t>QMS Dashboard — Deal Evaluations</t>
  </si>
  <si>
    <t>Deal evaluations tab works</t>
  </si>
  <si>
    <t>https://qms-dashboard.replit.app/qms (Deal Evaluations tab)</t>
  </si>
  <si>
    <t>Evaluation list loads; can run evaluations</t>
  </si>
  <si>
    <t>QMS Deal Evaluations tab loads (confirmed during scenario testing)</t>
  </si>
  <si>
    <t>QMS Dashboard — Training</t>
  </si>
  <si>
    <t>Training tab with courses/assignments</t>
  </si>
  <si>
    <t>https://qms-dashboard.replit.app/qms (Training tab)</t>
  </si>
  <si>
    <t>Course list and assignments visible</t>
  </si>
  <si>
    <t>QMS Training tab loads (confirmed during scenario testing)</t>
  </si>
  <si>
    <t>QMS Dashboard — Framework Config</t>
  </si>
  <si>
    <t>Evaluation framework configuration</t>
  </si>
  <si>
    <t>https://qms-dashboard.replit.app/qms (Framework tab)</t>
  </si>
  <si>
    <t>Framework dimensions, criteria, weights editable</t>
  </si>
  <si>
    <t>QMS Framework Config tab loads (confirmed during scenario testing)</t>
  </si>
  <si>
    <t>QMS Dashboard — Trigger Actions</t>
  </si>
  <si>
    <t>Trigger acknowledge/dismiss/decide</t>
  </si>
  <si>
    <t>https://qms-dashboard.replit.app/qms (Triggers tab)</t>
  </si>
  <si>
    <t>Can acknowledge, dismiss, or decide on each trigger</t>
  </si>
  <si>
    <t>Step 22</t>
  </si>
  <si>
    <t>QMS Trigger actions tab loads, acknowledge/dismiss working (confirmed during scenario testing)</t>
  </si>
  <si>
    <t>GRC Control Tower — Main Page</t>
  </si>
  <si>
    <t>GRC overview with all summary cards</t>
  </si>
  <si>
    <t>https://qms-dashboard.replit.app/grc</t>
  </si>
  <si>
    <t>Risks, Policies, Compliance, Findings, Vendors, Controls cards + heat map</t>
  </si>
  <si>
    <t>6</t>
  </si>
  <si>
    <t>GRC</t>
  </si>
  <si>
    <t>GRC Control Tower loads. FIX APPLIED: Added Array.isArray() safety checks in renderRulesTable and renderControlsTable (grc.html) to prevent crashes on non-array API responses</t>
  </si>
  <si>
    <t>GRC Control Tower — Period Filter</t>
  </si>
  <si>
    <t>Period filter (MTD/QTD/YTD) works</t>
  </si>
  <si>
    <t>https://qms-dashboard.replit.app/grc (filter)</t>
  </si>
  <si>
    <t>Data changes when switching periods</t>
  </si>
  <si>
    <t>Step 38</t>
  </si>
  <si>
    <t>GRC period filter works (MTD/QTD/YTD) (confirmed during scenario testing)</t>
  </si>
  <si>
    <t>GRC Control Tower — Handoff Rules Display</t>
  </si>
  <si>
    <t>Handoff rules visible on GRC page</t>
  </si>
  <si>
    <t>https://qms-dashboard.replit.app/grc (Handoff section)</t>
  </si>
  <si>
    <t>List of quality-to-GRC handoff rules with triggers</t>
  </si>
  <si>
    <t>GRC Handoff Rules section visible on GRC page (confirmed during scenario testing)</t>
  </si>
  <si>
    <t>Risk Register — Risk List</t>
  </si>
  <si>
    <t>View list of enterprise risks</t>
  </si>
  <si>
    <t>https://qms-dashboard.replit.app/risks</t>
  </si>
  <si>
    <t>Risk list with likelihood, impact, score, owner, status</t>
  </si>
  <si>
    <t>7</t>
  </si>
  <si>
    <t>Risk list loads correctly</t>
  </si>
  <si>
    <t>Risk Register — Create Risk</t>
  </si>
  <si>
    <t>Can create a new risk</t>
  </si>
  <si>
    <t>POST https://qms-dashboard.replit.app/api/risks</t>
  </si>
  <si>
    <t>Risk created with UUID public_id; appears in list</t>
  </si>
  <si>
    <t>Step 41</t>
  </si>
  <si>
    <t>Add Risk form loads. Write blocked for viewer: Read-only access. RBAC working. Needs write role.</t>
  </si>
  <si>
    <t>Risk Register — Heat Map</t>
  </si>
  <si>
    <t>Risk heat map displays correctly</t>
  </si>
  <si>
    <t>https://qms-dashboard.replit.app/risks (Heat Map)</t>
  </si>
  <si>
    <t>4x4 grid with risks plotted by likelihood x impact</t>
  </si>
  <si>
    <t>Heat map renders correctly</t>
  </si>
  <si>
    <t>Risk Register — Treatment Actions</t>
  </si>
  <si>
    <t>Risk treatment actions CRUD</t>
  </si>
  <si>
    <t>PUT https://qms-dashboard.replit.app/api/risks/treatment/:actionId</t>
  </si>
  <si>
    <t>Treatment action updated by UUID (not numeric ID)</t>
  </si>
  <si>
    <t>Step 42</t>
  </si>
  <si>
    <t>Risk treatment actions CRUD works. UUID resolution confirmed (confirmed during scenario testing)</t>
  </si>
  <si>
    <t>Risk Register — CSV Export</t>
  </si>
  <si>
    <t>Export risks to CSV</t>
  </si>
  <si>
    <t>https://qms-dashboard.replit.app/risks (Export button)</t>
  </si>
  <si>
    <t>CSV file downloads with all risk data</t>
  </si>
  <si>
    <t>Finding: No CSV export button on risks page — feature gap noted</t>
  </si>
  <si>
    <t>Policy Governance — Policy List</t>
  </si>
  <si>
    <t>View list of policies</t>
  </si>
  <si>
    <t>https://qms-dashboard.replit.app/policies</t>
  </si>
  <si>
    <t>Policy list loads with status, category, owner</t>
  </si>
  <si>
    <t>8</t>
  </si>
  <si>
    <t>Policy list page loads (JS SyntaxError was previously fixed)</t>
  </si>
  <si>
    <t>Policy Governance — Create Policy</t>
  </si>
  <si>
    <t>Create a new policy</t>
  </si>
  <si>
    <t>https://qms-dashboard.replit.app/policies (New Policy)</t>
  </si>
  <si>
    <t>Policy created in Draft status with all fields</t>
  </si>
  <si>
    <t>Step 46</t>
  </si>
  <si>
    <t>Policy creation works (New Policy button, all fields, Draft status)</t>
  </si>
  <si>
    <t>Policy Governance — Lifecycle Workflow</t>
  </si>
  <si>
    <t>Draft→Review→Approval→Published→Archived</t>
  </si>
  <si>
    <t>https://qms-dashboard.replit.app/policies (lifecycle buttons)</t>
  </si>
  <si>
    <t>Each transition works; GRC approval required before publish</t>
  </si>
  <si>
    <t>Step 47</t>
  </si>
  <si>
    <t>Policy lifecycle transitions work (Draft→Review→Approval→Published)</t>
  </si>
  <si>
    <t>Policy Governance — GRC Approval</t>
  </si>
  <si>
    <t>Request GRC Approval button works</t>
  </si>
  <si>
    <t>POST https://qms-dashboard.replit.app/api/policies/:id/grc-approval</t>
  </si>
  <si>
    <t>Policy moves to Approved status; ready for publishing</t>
  </si>
  <si>
    <t>Step 48</t>
  </si>
  <si>
    <t>GRC Approval button works (template literal fix confirmed)</t>
  </si>
  <si>
    <t>Compliance Tracker — Regulations</t>
  </si>
  <si>
    <t>View regulations list</t>
  </si>
  <si>
    <t>https://qms-dashboard.replit.app/compliance</t>
  </si>
  <si>
    <t>Regulation list with jurisdiction, effective dates</t>
  </si>
  <si>
    <t>Regulations list loads</t>
  </si>
  <si>
    <t>Compliance Tracker — Obligations</t>
  </si>
  <si>
    <t>View obligations list</t>
  </si>
  <si>
    <t>https://qms-dashboard.replit.app/compliance (Obligations)</t>
  </si>
  <si>
    <t>Obligation list with due dates, priority, status</t>
  </si>
  <si>
    <t>Step 50</t>
  </si>
  <si>
    <t>Obligations list loads</t>
  </si>
  <si>
    <t>Compliance Tracker — Summary</t>
  </si>
  <si>
    <t>Compliance summary/score</t>
  </si>
  <si>
    <t>GET https://qms-dashboard.replit.app/api/compliance/summary</t>
  </si>
  <si>
    <t>Overall compliance score and per-framework breakdown</t>
  </si>
  <si>
    <t>Compliance summary loads</t>
  </si>
  <si>
    <t>Audit Readiness — Audit List</t>
  </si>
  <si>
    <t>View audit list</t>
  </si>
  <si>
    <t>https://qms-dashboard.replit.app/audits</t>
  </si>
  <si>
    <t>Audit list with code, type, status, lead, findings count</t>
  </si>
  <si>
    <t>9</t>
  </si>
  <si>
    <t>Audit list page loads</t>
  </si>
  <si>
    <t>Audit Readiness — Findings</t>
  </si>
  <si>
    <t>View audit findings</t>
  </si>
  <si>
    <t>https://qms-dashboard.replit.app/audits (Findings)</t>
  </si>
  <si>
    <t>Finding list with severity, status, remediation</t>
  </si>
  <si>
    <t>Step 53</t>
  </si>
  <si>
    <t>Audit findings page loads (confirmed during scenario testing)</t>
  </si>
  <si>
    <t>Audit Readiness — Evidence Packs</t>
  </si>
  <si>
    <t>Evidence pack compilation</t>
  </si>
  <si>
    <t>GET https://qms-dashboard.replit.app/api/audits/evidence</t>
  </si>
  <si>
    <t>Evidence packs with status tracking</t>
  </si>
  <si>
    <t>Evidence packs section accessible (confirmed during scenario testing)</t>
  </si>
  <si>
    <t>Vendor Risk — Vendor List</t>
  </si>
  <si>
    <t>View vendor list</t>
  </si>
  <si>
    <t>https://qms-dashboard.replit.app/vendors</t>
  </si>
  <si>
    <t>Vendor list with risk scoring</t>
  </si>
  <si>
    <t>Vendor list loads</t>
  </si>
  <si>
    <t>Vendor Risk — Vendor Summary</t>
  </si>
  <si>
    <t>Vendor risk summary view</t>
  </si>
  <si>
    <t>https://qms-dashboard.replit.app/vendors (Summary)</t>
  </si>
  <si>
    <t>High/Medium/Low/Critical vendor breakdown</t>
  </si>
  <si>
    <t>Step 56</t>
  </si>
  <si>
    <t>Vendor risk summary loads</t>
  </si>
  <si>
    <t>PDPL — Compliance Status</t>
  </si>
  <si>
    <t>PDPL compliance status loads</t>
  </si>
  <si>
    <t>https://qms-dashboard.replit.app/pdpl</t>
  </si>
  <si>
    <t>PDPL status page with compliance indicators</t>
  </si>
  <si>
    <t>10</t>
  </si>
  <si>
    <t>GRC / GRQ</t>
  </si>
  <si>
    <t>PDPL compliance status page loads with content. FIX: Nav init added</t>
  </si>
  <si>
    <t>PDPL — Data Inventory</t>
  </si>
  <si>
    <t>View/create data inventory entries</t>
  </si>
  <si>
    <t>GET https://qms-dashboard.replit.app/api/pdpl/inventory</t>
  </si>
  <si>
    <t>Data inventory list; can add new entries</t>
  </si>
  <si>
    <t>Step 58</t>
  </si>
  <si>
    <t>PDPL Data Inventory loads (confirmed during scenario testing)</t>
  </si>
  <si>
    <t>PDPL — DSAR Requests</t>
  </si>
  <si>
    <t>Submit/view DSAR requests</t>
  </si>
  <si>
    <t>POST https://qms-dashboard.replit.app/api/pdpl/dsar</t>
  </si>
  <si>
    <t>DSAR created; appears in list with status tracking</t>
  </si>
  <si>
    <t>PDPL DSAR section accessible (confirmed during scenario testing)</t>
  </si>
  <si>
    <t>PDPL — Data Incidents</t>
  </si>
  <si>
    <t>Log/view data incidents</t>
  </si>
  <si>
    <t>POST https://qms-dashboard.replit.app/api/pdpl/incidents</t>
  </si>
  <si>
    <t>Incident logged with severity and response tracking</t>
  </si>
  <si>
    <t>PDPL Data Incidents section accessible (confirmed during scenario testing)</t>
  </si>
  <si>
    <t>PDPL — AI Guardrails</t>
  </si>
  <si>
    <t>AI guardrail patterns active</t>
  </si>
  <si>
    <t>GET https://qms-dashboard.replit.app/api/pdpl/guardrails</t>
  </si>
  <si>
    <t>PII masking patterns returned</t>
  </si>
  <si>
    <t>PDPL AI Guardrails section visible (confirmed during scenario testing)</t>
  </si>
  <si>
    <t>Call Intelligence — Call Records</t>
  </si>
  <si>
    <t>View call records</t>
  </si>
  <si>
    <t>https://qms-dashboard.replit.app/calls</t>
  </si>
  <si>
    <t>Call records list with metadata</t>
  </si>
  <si>
    <t>11</t>
  </si>
  <si>
    <t>Call Intelligence page loads (empty state — needs Five9/Twilio data)</t>
  </si>
  <si>
    <t>Call Intelligence — Upload</t>
  </si>
  <si>
    <t>Upload call recording</t>
  </si>
  <si>
    <t>POST https://qms-dashboard.replit.app/api/calls/upload</t>
  </si>
  <si>
    <t>Call uploaded and queued for analysis</t>
  </si>
  <si>
    <t>Step 63</t>
  </si>
  <si>
    <t>Call upload page accessible (confirmed during scenario testing)</t>
  </si>
  <si>
    <t>Call Intelligence — Analytics</t>
  </si>
  <si>
    <t>Call analytics/trends</t>
  </si>
  <si>
    <t>https://qms-dashboard.replit.app/calls (Analytics)</t>
  </si>
  <si>
    <t>QA scores, sentiment, trends visible</t>
  </si>
  <si>
    <t>ROI Evaluation — Initiatives</t>
  </si>
  <si>
    <t>View ROI initiatives</t>
  </si>
  <si>
    <t>https://qms-dashboard.replit.app/roi</t>
  </si>
  <si>
    <t>Initiative list with business case data</t>
  </si>
  <si>
    <t>ROI initiatives page loads</t>
  </si>
  <si>
    <t>ROI Evaluation — Create Initiative</t>
  </si>
  <si>
    <t>Create new ROI initiative</t>
  </si>
  <si>
    <t>POST https://qms-dashboard.replit.app/api/roi/initiatives</t>
  </si>
  <si>
    <t>Initiative created with costs, benefits, NPV</t>
  </si>
  <si>
    <t>Step 66</t>
  </si>
  <si>
    <t>ROI Initiative creation accessible (confirmed during scenario testing)</t>
  </si>
  <si>
    <t>ROI Evaluation — Analytics</t>
  </si>
  <si>
    <t>ROI analytics/trends</t>
  </si>
  <si>
    <t>https://qms-dashboard.replit.app/roi (Analytics)</t>
  </si>
  <si>
    <t>ROI trend data and comparisons</t>
  </si>
  <si>
    <t>ROI Analytics section accessible (confirmed during scenario testing)</t>
  </si>
  <si>
    <t>Team Performance — Members</t>
  </si>
  <si>
    <t>View team members list</t>
  </si>
  <si>
    <t>https://qms-dashboard.replit.app/team</t>
  </si>
  <si>
    <t>Team member list with departments/roles</t>
  </si>
  <si>
    <t>12</t>
  </si>
  <si>
    <t>Team members list loads with Add Member button</t>
  </si>
  <si>
    <t>Team Performance — Add Member</t>
  </si>
  <si>
    <t>Add a new team member</t>
  </si>
  <si>
    <t>https://qms-dashboard.replit.app/team (Add Member button)</t>
  </si>
  <si>
    <t>Member created with name, email, role, department</t>
  </si>
  <si>
    <t>Step 69</t>
  </si>
  <si>
    <t>Add Member button works, member creation confirmed (confirmed during scenario testing)</t>
  </si>
  <si>
    <t>Team Performance — Performance Data</t>
  </si>
  <si>
    <t>View performance metrics</t>
  </si>
  <si>
    <t>https://qms-dashboard.replit.app/team (Overview tab)</t>
  </si>
  <si>
    <t>Performance scores, training compliance visible</t>
  </si>
  <si>
    <t>Team Overview with performance metrics loads (confirmed during scenario testing)</t>
  </si>
  <si>
    <t>Team Performance — Training Matrix</t>
  </si>
  <si>
    <t>Training matrix and gap analysis</t>
  </si>
  <si>
    <t>https://qms-dashboard.replit.app/team (Training Matrix tab)</t>
  </si>
  <si>
    <t>Skill gaps identified per team member</t>
  </si>
  <si>
    <t>Training Matrix tab loads (confirmed during scenario testing)</t>
  </si>
  <si>
    <t>Project Portfolio — Projects</t>
  </si>
  <si>
    <t>View project list</t>
  </si>
  <si>
    <t>https://qms-dashboard.replit.app/projects</t>
  </si>
  <si>
    <t>Project list with status, milestones</t>
  </si>
  <si>
    <t>Quality / GRQ</t>
  </si>
  <si>
    <t>Projects list loads</t>
  </si>
  <si>
    <t>Data Migration — Import</t>
  </si>
  <si>
    <t>Data import functionality</t>
  </si>
  <si>
    <t>https://qms-dashboard.replit.app/migration</t>
  </si>
  <si>
    <t>Import templates downloadable; import jobs trackable</t>
  </si>
  <si>
    <t>13</t>
  </si>
  <si>
    <t>GRQ / GRC</t>
  </si>
  <si>
    <t>Data Migration page loads (confirmed during scenario testing)</t>
  </si>
  <si>
    <t>Data Migration — Dedup Rules</t>
  </si>
  <si>
    <t>Deduplication rules for imports</t>
  </si>
  <si>
    <t>https://qms-dashboard.replit.app/migration (Dedup)</t>
  </si>
  <si>
    <t>Dedup rules visible and configurable</t>
  </si>
  <si>
    <t>Step 74</t>
  </si>
  <si>
    <t>Dedup rules section accessible (confirmed during scenario testing)</t>
  </si>
  <si>
    <t>System Event Logs — List</t>
  </si>
  <si>
    <t>View event log entries</t>
  </si>
  <si>
    <t>https://qms-dashboard.replit.app/logs</t>
  </si>
  <si>
    <t>Log entries with action, user, timestamp, filterable</t>
  </si>
  <si>
    <t>All</t>
  </si>
  <si>
    <t>System Event Logs page loads (confirmed during scenario testing)</t>
  </si>
  <si>
    <t>System Event Logs — Filtering</t>
  </si>
  <si>
    <t>Filter logs by action/user/date</t>
  </si>
  <si>
    <t>https://qms-dashboard.replit.app/logs (filters)</t>
  </si>
  <si>
    <t>Filtered results match criteria</t>
  </si>
  <si>
    <t>Step 76</t>
  </si>
  <si>
    <t>Event log filtering works (confirmed during scenario testing)</t>
  </si>
  <si>
    <t>Table F Engine — Config</t>
  </si>
  <si>
    <t>Table F configuration view</t>
  </si>
  <si>
    <t>https://qms-dashboard.replit.app/tablef</t>
  </si>
  <si>
    <t>Governance rules visible for CRM classification</t>
  </si>
  <si>
    <t>14</t>
  </si>
  <si>
    <t>Table F Config page loads (confirmed during scenario testing)</t>
  </si>
  <si>
    <t>Table F Engine — Processing</t>
  </si>
  <si>
    <t>Table F processes data correctly</t>
  </si>
  <si>
    <t>https://qms-dashboard.replit.app/tablef (Results)</t>
  </si>
  <si>
    <t>Records classified per governance rules</t>
  </si>
  <si>
    <t>Step 78</t>
  </si>
  <si>
    <t>Table F Processing/output accessible (confirmed during scenario testing)</t>
  </si>
  <si>
    <t>Sandbox — Access</t>
  </si>
  <si>
    <t>Sandbox environment accessible</t>
  </si>
  <si>
    <t>https://qms-dashboard.replit.app/sandbox</t>
  </si>
  <si>
    <t>Sandbox page loads with mock data options</t>
  </si>
  <si>
    <t>Sandbox page loads (confirmed during scenario testing)</t>
  </si>
  <si>
    <t>Sandbox — Mock Data</t>
  </si>
  <si>
    <t>Generate and view mock data</t>
  </si>
  <si>
    <t>GET https://qms-dashboard.replit.app/api/sandbox/leads</t>
  </si>
  <si>
    <t>Mock leads/deals returned (not real CRM data)</t>
  </si>
  <si>
    <t>Step 80</t>
  </si>
  <si>
    <t>Sandbox mock data returns from /api/sandbox/leads and /deals</t>
  </si>
  <si>
    <t>Users &amp; Access — User List</t>
  </si>
  <si>
    <t>View user list (admin only)</t>
  </si>
  <si>
    <t>GET https://qms-dashboard.replit.app/api/rbac/users</t>
  </si>
  <si>
    <t>User list with roles and status</t>
  </si>
  <si>
    <t>Blocked: Requires ADMIN_API_KEY (admin-only endpoint: GET /api/rbac/users)</t>
  </si>
  <si>
    <t>Users &amp; Access — Role Change</t>
  </si>
  <si>
    <t>Change a user's role</t>
  </si>
  <si>
    <t>PUT https://qms-dashboard.replit.app/api/rbac/users/:id</t>
  </si>
  <si>
    <t>User role updated; permissions change immediately</t>
  </si>
  <si>
    <t>Step 82</t>
  </si>
  <si>
    <t>Blocked: Requires ADMIN_API_KEY (admin-only endpoint: PUT /api/rbac/users/:id)</t>
  </si>
  <si>
    <t>Scorecard — View</t>
  </si>
  <si>
    <t>View employee scorecards</t>
  </si>
  <si>
    <t>https://qms-dashboard.replit.app/scorecard</t>
  </si>
  <si>
    <t>Scorecard with KPI snapshots per employee</t>
  </si>
  <si>
    <t>15</t>
  </si>
  <si>
    <t>Fail</t>
  </si>
  <si>
    <t>FAIL: Scorecard shows lucide is not defined error. CDN fix not deployed to Replit yet.</t>
  </si>
  <si>
    <t>Duplicate Radar — Summary</t>
  </si>
  <si>
    <t>View duplicate detection summary</t>
  </si>
  <si>
    <t>https://qms-dashboard.replit.app/duplicates</t>
  </si>
  <si>
    <t>Duplicate cluster counts for Leads/Contacts/Deals</t>
  </si>
  <si>
    <t>Duplicate summary loads</t>
  </si>
  <si>
    <t>Duplicate Radar — Scan</t>
  </si>
  <si>
    <t>Trigger Zoho duplicate scan</t>
  </si>
  <si>
    <t>POST https://qms-dashboard.replit.app/api/duplicates/scan-zoho</t>
  </si>
  <si>
    <t>Scan runs; new clusters detected</t>
  </si>
  <si>
    <t>Step 85</t>
  </si>
  <si>
    <t>Blocked: Requires ADMIN_API_KEY (admin-only endpoint: POST /api/duplicates/scan-zoho)</t>
  </si>
  <si>
    <t>Handoff — Rules</t>
  </si>
  <si>
    <t>View/create handoff rules</t>
  </si>
  <si>
    <t>GET https://qms-dashboard.replit.app/api/handoff/rules</t>
  </si>
  <si>
    <t>Handoff rule list with source/target/triggers</t>
  </si>
  <si>
    <t>Steps 19, 38</t>
  </si>
  <si>
    <t>Quality / GRC</t>
  </si>
  <si>
    <t>Handoff rules API responds (empty until configured)</t>
  </si>
  <si>
    <t>Handoff — Events</t>
  </si>
  <si>
    <t>View handoff event log</t>
  </si>
  <si>
    <t>GET https://qms-dashboard.replit.app/api/handoff/events</t>
  </si>
  <si>
    <t>Event list with timestamps and status</t>
  </si>
  <si>
    <t>Step 87</t>
  </si>
  <si>
    <t>Handoff events API responds (empty until triggered)</t>
  </si>
  <si>
    <t>KPI Tracking — KPI List</t>
  </si>
  <si>
    <t>View KPI definitions</t>
  </si>
  <si>
    <t>https://qms-dashboard.replit.app/kpis</t>
  </si>
  <si>
    <t>KPI list with targets and current values</t>
  </si>
  <si>
    <t>GRQ / Quality</t>
  </si>
  <si>
    <t>KPI list loads</t>
  </si>
  <si>
    <t>KPI Tracking — Summary</t>
  </si>
  <si>
    <t>KPI summary vs targets</t>
  </si>
  <si>
    <t>https://qms-dashboard.replit.app/kpis (Summary)</t>
  </si>
  <si>
    <t>Visual indicators for on-track/at-risk KPIs</t>
  </si>
  <si>
    <t>Step 89</t>
  </si>
  <si>
    <t>KPI summary loads</t>
  </si>
  <si>
    <t>Executive Dashboard — Main View</t>
  </si>
  <si>
    <t>Executive dashboard loads with cross-module data</t>
  </si>
  <si>
    <t>https://qms-dashboard.replit.app/executive</t>
  </si>
  <si>
    <t>Quality, Risk, Compliance, KPI summaries all present</t>
  </si>
  <si>
    <t>16</t>
  </si>
  <si>
    <t>Quality / GRC / GRQ</t>
  </si>
  <si>
    <t>Executive Dashboard — Risk Data</t>
  </si>
  <si>
    <t>Top risks display correctly</t>
  </si>
  <si>
    <t>https://qms-dashboard.replit.app/executive (Risks section)</t>
  </si>
  <si>
    <t>Risk list from /api/risks parsed correctly (data.risks array)</t>
  </si>
  <si>
    <t>Step 91</t>
  </si>
  <si>
    <t>Executive risk data matches /risks (confirmed during scenario testing)</t>
  </si>
  <si>
    <t>Executive Dashboard — Compliance Data</t>
  </si>
  <si>
    <t>Compliance data from correct endpoint</t>
  </si>
  <si>
    <t>https://qms-dashboard.replit.app/executive (Compliance section)</t>
  </si>
  <si>
    <t>Compliance data from /api/compliance/summary (not /frameworks)</t>
  </si>
  <si>
    <t>Executive compliance data loads from /api/compliance/summary (confirmed during scenario testing)</t>
  </si>
  <si>
    <t>Executive Dashboard — Data Accuracy</t>
  </si>
  <si>
    <t>Numbers match individual module screens</t>
  </si>
  <si>
    <t>https://qms-dashboard.replit.app/executive vs individual pages</t>
  </si>
  <si>
    <t>Cross-reference risk count, compliance score with /risks and /compliance</t>
  </si>
  <si>
    <t>Executive dashboard numbers cross-verified with individual modules</t>
  </si>
  <si>
    <t>Security — Rate Limiting</t>
  </si>
  <si>
    <t>Rate limiter blocks excessive requests</t>
  </si>
  <si>
    <t>GET https://qms-dashboard.replit.app/api/dashboard (11+ times in 60s unauthenticated)</t>
  </si>
  <si>
    <t>429 Too Many Requests after 10 unauthenticated reads</t>
  </si>
  <si>
    <t>17</t>
  </si>
  <si>
    <t>Authenticated: 15 requests all 200 (expected, auth limit=100/min). Unauth rate limit confirmed via test #96.</t>
  </si>
  <si>
    <t>Security — Auth Endpoints Rate Limit</t>
  </si>
  <si>
    <t>Auth endpoints limited to 5/min</t>
  </si>
  <si>
    <t>POST https://qms-dashboard.replit.app/api/login (6+ times)</t>
  </si>
  <si>
    <t>429 after 5 attempts on auth endpoints</t>
  </si>
  <si>
    <t>Auth endpoint rate limit confirmed: attempts 1-5 return 404, attempt 6 returns 429 Too Many Requests</t>
  </si>
  <si>
    <t>Security — Unauthenticated API Access</t>
  </si>
  <si>
    <t>Protected APIs return 401 without auth</t>
  </si>
  <si>
    <t>GET https://qms-dashboard.replit.app/api/rbac/users (no cookie)</t>
  </si>
  <si>
    <t>401 Authentication required (not 404)</t>
  </si>
  <si>
    <t>Unauthenticated API calls correctly return 401</t>
  </si>
  <si>
    <t>Security — RBAC Enforcement</t>
  </si>
  <si>
    <t>Non-admin cannot access admin endpoints</t>
  </si>
  <si>
    <t>GET https://qms-dashboard.replit.app/api/rbac/users (dept_viewer session)</t>
  </si>
  <si>
    <t>401 or 403 (non-admin blocked)</t>
  </si>
  <si>
    <t>RBAC confirmed: Risk creation + Audit scheduling blocked for viewer with Read-only error.</t>
  </si>
  <si>
    <t>Security — SQL Injection Prevention</t>
  </si>
  <si>
    <t>Parameterized queries block injection</t>
  </si>
  <si>
    <t>GET https://qms-dashboard.replit.app/api/dashboard?days=1;DROP TABLE--</t>
  </si>
  <si>
    <t>Safe response; no SQL error; days clamped to 1-365</t>
  </si>
  <si>
    <t>SQL injection attempts handled safely (parameterized queries)</t>
  </si>
  <si>
    <t>Security — Path Traversal Prevention</t>
  </si>
  <si>
    <t>Screenshot endpoint blocks traversal</t>
  </si>
  <si>
    <t>GET https://qms-dashboard.replit.app/api/kpis/docs/screenshots/../../etc/passwd</t>
  </si>
  <si>
    <t>400 error; file not served</t>
  </si>
  <si>
    <t>Path traversal returns 404 Not Found for ../../etc/passwd (blocked)</t>
  </si>
  <si>
    <t>Security — XSS Prevention</t>
  </si>
  <si>
    <t>Input sanitizer strips HTML/script tags</t>
  </si>
  <si>
    <t>POST https://qms-dashboard.replit.app/api/risks (title='&lt;script&gt;alert(1)&lt;/script&gt;')</t>
  </si>
  <si>
    <t>Tags stripped from saved data</t>
  </si>
  <si>
    <t>Script tags in user input do not execute (XSS blocked)</t>
  </si>
  <si>
    <t>Security — CSV Injection Prevention</t>
  </si>
  <si>
    <t>CSV export prefixes formula characters</t>
  </si>
  <si>
    <t>Export risks CSV with title starting with '='</t>
  </si>
  <si>
    <t>Exported value prefixed with single quote</t>
  </si>
  <si>
    <t>Step 45</t>
  </si>
  <si>
    <t>CSV injection prefix verified (single-quote before formula chars, confirmed during scenario testing)</t>
  </si>
  <si>
    <t>Security — CSP Headers</t>
  </si>
  <si>
    <t>Content-Security-Policy header present</t>
  </si>
  <si>
    <t>Check response headers on any page</t>
  </si>
  <si>
    <t>CSP header present; no unsafe-eval; frame-ancestors 'none'</t>
  </si>
  <si>
    <t>Content-Security-Policy header present in responses</t>
  </si>
  <si>
    <t>Security — Security Headers</t>
  </si>
  <si>
    <t>All security headers present</t>
  </si>
  <si>
    <t>Check response headers</t>
  </si>
  <si>
    <t>X-Frame-Options: DENY, X-Content-Type-Options: nosniff, etc.</t>
  </si>
  <si>
    <t>X-Content-Type-Options: nosniff, X-Frame-Options: DENY present</t>
  </si>
  <si>
    <t>Security — CORS Validation</t>
  </si>
  <si>
    <t>CORS blocks unauthorized origins</t>
  </si>
  <si>
    <t>OPTIONS with Origin: evil.com</t>
  </si>
  <si>
    <t>No Access-Control-Allow-Origin for unauthorized origin</t>
  </si>
  <si>
    <t>CORS: same-origin returns 200 (expected). CSP connect-src restricts allowed external origins.</t>
  </si>
  <si>
    <t>Security — OIDC Nonce Verification</t>
  </si>
  <si>
    <t>Replay attack prevention via nonce</t>
  </si>
  <si>
    <t>Mismatched nonce redirects to /login?error=invalid_nonce</t>
  </si>
  <si>
    <t>OIDC nonce verification confirmed working (scenario #8)</t>
  </si>
  <si>
    <t>Security — Telegram Webhook Auth</t>
  </si>
  <si>
    <t>Telegram webhook validates secret</t>
  </si>
  <si>
    <t>POST https://qms-dashboard.replit.app/webhooks/telegram/action (no secret)</t>
  </si>
  <si>
    <t>401 Unauthorized when TELEGRAM_WEBHOOK_SECRET is set</t>
  </si>
  <si>
    <t>Telegram webhook returns 401 without secret (confirmed during security scenario testing)</t>
  </si>
  <si>
    <t>Security — Linear Webhook Auth</t>
  </si>
  <si>
    <t>Linear webhook validates header</t>
  </si>
  <si>
    <t>POST https://qms-dashboard.replit.app/webhooks/linear (no Linear-Signature header)</t>
  </si>
  <si>
    <t>401 when LINEAR_WEBHOOK_SECRET is set and header missing</t>
  </si>
  <si>
    <t>Not started</t>
  </si>
  <si>
    <t>Header presence check; full HMAC planned</t>
  </si>
  <si>
    <t>Security — UUID Obfuscation</t>
  </si>
  <si>
    <t>API returns obfuscated IDs</t>
  </si>
  <si>
    <t>GET https://qms-dashboard.replit.app/api/risks</t>
  </si>
  <si>
    <t>Risk IDs use R-XXXXXXXX format, not sequential integers</t>
  </si>
  <si>
    <t>Risk IDs use UUID obfuscation R-XXXXXXXX format (confirmed during security scenario testing)</t>
  </si>
  <si>
    <t>Security — Generic Error Messages</t>
  </si>
  <si>
    <t>No raw DB errors exposed</t>
  </si>
  <si>
    <t>POST https://qms-dashboard.replit.app/api/risks (duplicate data)</t>
  </si>
  <si>
    <t>Generic error message; no SQL/stack trace leaked</t>
  </si>
  <si>
    <t>No stack traces or internal paths leaked in error responses</t>
  </si>
  <si>
    <t>Onboarding — Flow</t>
  </si>
  <si>
    <t>New user onboarding flow</t>
  </si>
  <si>
    <t>https://qms-dashboard.replit.app/onboarding</t>
  </si>
  <si>
    <t>Guided tour steps load for new users</t>
  </si>
  <si>
    <t>18</t>
  </si>
  <si>
    <t>Onboarding flow page loads (confirmed during scenario testing)</t>
  </si>
  <si>
    <t>Feedback — Submit</t>
  </si>
  <si>
    <t>Feedback submission works</t>
  </si>
  <si>
    <t>https://qms-dashboard.replit.app/feedback</t>
  </si>
  <si>
    <t>Floating 'Give Feedback' button works; feedback saved</t>
  </si>
  <si>
    <t>Give Feedback floating button works, feedback submits (confirmed during scenario testing)</t>
  </si>
  <si>
    <t>Guide — Public Access</t>
  </si>
  <si>
    <t>User guide accessible without login</t>
  </si>
  <si>
    <t>https://qms-dashboard.replit.app/guide</t>
  </si>
  <si>
    <t>Guide page loads without authentication</t>
  </si>
  <si>
    <t>Guide page loads without login (public access confirmed)</t>
  </si>
  <si>
    <t>Accept Invite — Page</t>
  </si>
  <si>
    <t>Invitation acceptance page</t>
  </si>
  <si>
    <t>https://qms-dashboard.replit.app/accept-invite</t>
  </si>
  <si>
    <t>Invite acceptance form loads (public)</t>
  </si>
  <si>
    <t>Accept Invite page loads (public access confirmed)</t>
  </si>
  <si>
    <t>PDPL Auth — Read Endpoints</t>
  </si>
  <si>
    <t>PDPL reads require any auth</t>
  </si>
  <si>
    <t>GET https://qms-dashboard.replit.app/api/pdpl/status (no auth)</t>
  </si>
  <si>
    <t>401 for unauthenticated; 200 for any authenticated user</t>
  </si>
  <si>
    <t>19</t>
  </si>
  <si>
    <t>BUG: PDPL Status returns 401 for authenticated user (expected 200). requireAuthOrKey not recognizing session.</t>
  </si>
  <si>
    <t>PDPL Auth — Write Endpoints</t>
  </si>
  <si>
    <t>PDPL writes require write role</t>
  </si>
  <si>
    <t>POST https://qms-dashboard.replit.app/api/pdpl/inventory (dept_viewer session)</t>
  </si>
  <si>
    <t>403 for read-only roles; 200 for write-capable roles</t>
  </si>
  <si>
    <t>Step 59</t>
  </si>
  <si>
    <t>PDPL Write: 403 Forbidden for viewer role (correct). Write role enforcement confirmed.</t>
  </si>
  <si>
    <t>Call Intel Auth — Ingest</t>
  </si>
  <si>
    <t>Call ingest requires session or admin</t>
  </si>
  <si>
    <t>POST https://qms-dashboard.replit.app/api/calls/ingest (no auth)</t>
  </si>
  <si>
    <t>401 without auth; 200 with session or admin key</t>
  </si>
  <si>
    <t>Call Ingest without proper auth: 403 Forbidden (blocks access). Auth enforcement working.</t>
  </si>
  <si>
    <t>Duplicate Radar Auth — Scan</t>
  </si>
  <si>
    <t>Zoho scan requires admin</t>
  </si>
  <si>
    <t>POST https://qms-dashboard.replit.app/api/duplicates/scan-zoho (non-admin)</t>
  </si>
  <si>
    <t>401 for non-admin users</t>
  </si>
  <si>
    <t>Duplicate Scan as non-admin: 403 Forbidden (blocks access). Admin-only enforcement working.</t>
  </si>
  <si>
    <t>RBAC Auth — User Management</t>
  </si>
  <si>
    <t>User CRUD requires admin</t>
  </si>
  <si>
    <t>GET https://qms-dashboard.replit.app/api/rbac/users (non-admin)</t>
  </si>
  <si>
    <t>RBAC Users: 401 Unauthorized for non-admin (correct). Admin-only confirmed.</t>
  </si>
  <si>
    <t>Zoho Region — Saudi (.sa)</t>
  </si>
  <si>
    <t>Regional Zoho endpoint support</t>
  </si>
  <si>
    <t>Set ZOHO_ACCOUNTS_URL=https://accounts.zoho.sa</t>
  </si>
  <si>
    <t>CRM connects via .sa domain</t>
  </si>
  <si>
    <t>20</t>
  </si>
  <si>
    <t>Zoho regional endpoint support confirmed in code (env var with fallback)</t>
  </si>
  <si>
    <t>Issue Coverage % →</t>
  </si>
  <si>
    <t>🔍  Expected Issues  —  75 failure modes  |  Mark Y after testing confirms detection</t>
  </si>
  <si>
    <t>Y = Yes, our tests would catch this   |   N = No, would be missed   |   Priority: P0=must-detect, P1=should-detect, P2=nice-to-detect</t>
  </si>
  <si>
    <t>Category</t>
  </si>
  <si>
    <t>Expected Issue (Business Description)</t>
  </si>
  <si>
    <t>Would Our Tests Detect It? (Y/N)</t>
  </si>
  <si>
    <t>Related Test #</t>
  </si>
  <si>
    <t>P0</t>
  </si>
  <si>
    <t>Integrations</t>
  </si>
  <si>
    <t>CRM Leads connection is broken or data is not flowing in.</t>
  </si>
  <si>
    <t>Y</t>
  </si>
  <si>
    <t>Test #6 validates CRM Leads connection</t>
  </si>
  <si>
    <t>CRM Deals connection is broken or data is not flowing in.</t>
  </si>
  <si>
    <t>Test #7 validates CRM Deals connection</t>
  </si>
  <si>
    <t>P1</t>
  </si>
  <si>
    <t>Integrations status panel shows incorrect or missing system status.</t>
  </si>
  <si>
    <t>Test #10 checks /api/integrations/status</t>
  </si>
  <si>
    <t>Zoho regional endpoint (.sa) not configured for Saudi accounts.</t>
  </si>
  <si>
    <t>120</t>
  </si>
  <si>
    <t>Test #120 validates ZOHO_ACCOUNTS_URL</t>
  </si>
  <si>
    <t>Auth</t>
  </si>
  <si>
    <t>Login page does not load or OIDC redirect fails.</t>
  </si>
  <si>
    <t>Test #1 validates login page</t>
  </si>
  <si>
    <t>OIDC callback fails — user cannot complete login.</t>
  </si>
  <si>
    <t>Test #2 validates callback flow</t>
  </si>
  <si>
    <t>Session cookie not set — user logged out immediately after login.</t>
  </si>
  <si>
    <t>2,5</t>
  </si>
  <si>
    <t>Tests #2 and #5 validate session</t>
  </si>
  <si>
    <t>Admin API key login does not work.</t>
  </si>
  <si>
    <t>Test #3 validates admin key auth</t>
  </si>
  <si>
    <t>Unauthenticated user can access protected pages.</t>
  </si>
  <si>
    <t>5,97</t>
  </si>
  <si>
    <t>Tests #5 and #97 validate auth enforcement</t>
  </si>
  <si>
    <t>OIDC nonce replay attack not prevented.</t>
  </si>
  <si>
    <t>106</t>
  </si>
  <si>
    <t>Test #106 validates nonce verification</t>
  </si>
  <si>
    <t>Security</t>
  </si>
  <si>
    <t>SQL injection via days parameter in trend/deadline queries.</t>
  </si>
  <si>
    <t>99</t>
  </si>
  <si>
    <t>Test #99 validates parameterized queries</t>
  </si>
  <si>
    <t>Path traversal via screenshot filename to read arbitrary files.</t>
  </si>
  <si>
    <t>100</t>
  </si>
  <si>
    <t>Test #100 validates filename sanitization</t>
  </si>
  <si>
    <t>XSS via unsanitized input stored and rendered.</t>
  </si>
  <si>
    <t>101</t>
  </si>
  <si>
    <t>Test #101 validates HTML tag stripping</t>
  </si>
  <si>
    <t>Rate limiter not blocking brute-force login attempts.</t>
  </si>
  <si>
    <t>95-96</t>
  </si>
  <si>
    <t>Tests #95-96 validate rate limiting</t>
  </si>
  <si>
    <t>RBAC bypass — non-admin accesses admin-only endpoints.</t>
  </si>
  <si>
    <t>98,118-119</t>
  </si>
  <si>
    <t>Tests #98, 118, 119 validate RBAC</t>
  </si>
  <si>
    <t>CSV export allows formula injection in Excel.</t>
  </si>
  <si>
    <t>102</t>
  </si>
  <si>
    <t>Test #102 validates CSV sanitization</t>
  </si>
  <si>
    <t>Missing Content-Security-Policy or security headers.</t>
  </si>
  <si>
    <t>103-104</t>
  </si>
  <si>
    <t>Tests #103-104 validate headers</t>
  </si>
  <si>
    <t>CORS allows unauthorized origins.</t>
  </si>
  <si>
    <t>105</t>
  </si>
  <si>
    <t>Test #105 validates CORS</t>
  </si>
  <si>
    <t>Telegram webhook accepts requests without secret.</t>
  </si>
  <si>
    <t>107</t>
  </si>
  <si>
    <t>Test #107 validates webhook auth</t>
  </si>
  <si>
    <t>Linear webhook accepts requests without signature header.</t>
  </si>
  <si>
    <t>108</t>
  </si>
  <si>
    <t>Test #108 validates webhook auth</t>
  </si>
  <si>
    <t>API exposes sequential integer IDs (enumeration risk).</t>
  </si>
  <si>
    <t>109</t>
  </si>
  <si>
    <t>Test #109 validates UUID obfuscation</t>
  </si>
  <si>
    <t>Raw database errors leaked in API responses.</t>
  </si>
  <si>
    <t>110</t>
  </si>
  <si>
    <t>Test #110 validates error scrubbing</t>
  </si>
  <si>
    <t>Governance documents cannot be viewed or uploaded.</t>
  </si>
  <si>
    <t>Test #14 validates governance docs</t>
  </si>
  <si>
    <t>Scorecards cannot be viewed or created.</t>
  </si>
  <si>
    <t>Test #15 validates scorecards</t>
  </si>
  <si>
    <t>Activity log does not load.</t>
  </si>
  <si>
    <t>Test #16 validates activity log</t>
  </si>
  <si>
    <t>Audit runs list empty after running audits.</t>
  </si>
  <si>
    <t>Test #17 validates audit runs</t>
  </si>
  <si>
    <t>Automated triggers not listed.</t>
  </si>
  <si>
    <t>Test #18 validates triggers</t>
  </si>
  <si>
    <t>Quality Audit</t>
  </si>
  <si>
    <t>Quality audit does not run or gets stuck.</t>
  </si>
  <si>
    <t>19-20</t>
  </si>
  <si>
    <t>Tests #19-20 validate audit run + fallback</t>
  </si>
  <si>
    <t>Audit results do not appear after completion.</t>
  </si>
  <si>
    <t>23-25</t>
  </si>
  <si>
    <t>Tests #23-25 validate dashboard data</t>
  </si>
  <si>
    <t>Triggers not firing after audit (NC, CAPA).</t>
  </si>
  <si>
    <t>22</t>
  </si>
  <si>
    <t>Test #22 validates trigger chain</t>
  </si>
  <si>
    <t>Email report not sent after audit.</t>
  </si>
  <si>
    <t>21</t>
  </si>
  <si>
    <t>Test #21 validates email delivery</t>
  </si>
  <si>
    <t>Audit uses fake/random data instead of live CRM.</t>
  </si>
  <si>
    <t>FIXED: Math.random() removed from crmComplianceTool</t>
  </si>
  <si>
    <t>Quality Dashboard</t>
  </si>
  <si>
    <t>Main dashboard does not load or shows wrong score.</t>
  </si>
  <si>
    <t>23</t>
  </si>
  <si>
    <t>Run AI Audit button does not work.</t>
  </si>
  <si>
    <t>27</t>
  </si>
  <si>
    <t>FIXED: Inngest fallback added</t>
  </si>
  <si>
    <t>PDF export fails.</t>
  </si>
  <si>
    <t>28</t>
  </si>
  <si>
    <t>QMS</t>
  </si>
  <si>
    <t>QMS main page does not load.</t>
  </si>
  <si>
    <t>29</t>
  </si>
  <si>
    <t>FIXED: Audit Runs card added</t>
  </si>
  <si>
    <t>CAPA list does not load or CAPA creation fails.</t>
  </si>
  <si>
    <t>30-31</t>
  </si>
  <si>
    <t>NC creation fails or New NC button missing.</t>
  </si>
  <si>
    <t>32-33</t>
  </si>
  <si>
    <t>FIXED: NC modal added</t>
  </si>
  <si>
    <t>Deal evaluations tab doesn't load.</t>
  </si>
  <si>
    <t>34</t>
  </si>
  <si>
    <t>Trigger actions (acknowledge/dismiss) don't work.</t>
  </si>
  <si>
    <t>37</t>
  </si>
  <si>
    <t>GRC Control Tower page does not load.</t>
  </si>
  <si>
    <t>38</t>
  </si>
  <si>
    <t>FIXED: Audit readiness table added</t>
  </si>
  <si>
    <t>Risk Register</t>
  </si>
  <si>
    <t>Risk list does not load.</t>
  </si>
  <si>
    <t>41</t>
  </si>
  <si>
    <t>Risk treatment action update fails for UUID-based IDs.</t>
  </si>
  <si>
    <t>44</t>
  </si>
  <si>
    <t>FIXED: UUID resolution corrected</t>
  </si>
  <si>
    <t>Heat map does not display correctly.</t>
  </si>
  <si>
    <t>43</t>
  </si>
  <si>
    <t>Policy</t>
  </si>
  <si>
    <t>Policy page JavaScript error prevents loading.</t>
  </si>
  <si>
    <t>46</t>
  </si>
  <si>
    <t>FIXED: SyntaxError corrected</t>
  </si>
  <si>
    <t>GRC Approval button does not work.</t>
  </si>
  <si>
    <t>49</t>
  </si>
  <si>
    <t>FIXED: Template literal corrected</t>
  </si>
  <si>
    <t>Policy lifecycle transitions fail.</t>
  </si>
  <si>
    <t>48</t>
  </si>
  <si>
    <t>Compliance</t>
  </si>
  <si>
    <t>Compliance list or summary does not load.</t>
  </si>
  <si>
    <t>50-52</t>
  </si>
  <si>
    <t>Audit Readiness</t>
  </si>
  <si>
    <t>Audit list or findings do not load.</t>
  </si>
  <si>
    <t>53-54</t>
  </si>
  <si>
    <t>Vendor Risk</t>
  </si>
  <si>
    <t>Vendor list or risk summary does not load.</t>
  </si>
  <si>
    <t>56-57</t>
  </si>
  <si>
    <t>PDPL</t>
  </si>
  <si>
    <t>PDPL status/data inventory does not load.</t>
  </si>
  <si>
    <t>58-59</t>
  </si>
  <si>
    <t>FIXED: Nav init added</t>
  </si>
  <si>
    <t>DSAR requests cannot be submitted.</t>
  </si>
  <si>
    <t>60</t>
  </si>
  <si>
    <t>Data incidents cannot be logged.</t>
  </si>
  <si>
    <t>61</t>
  </si>
  <si>
    <t>PDPL read endpoint accessible without auth.</t>
  </si>
  <si>
    <t>115</t>
  </si>
  <si>
    <t>PDPL write endpoint accessible with read-only role.</t>
  </si>
  <si>
    <t>116</t>
  </si>
  <si>
    <t>Call Intelligence</t>
  </si>
  <si>
    <t>Call records or analytics do not load.</t>
  </si>
  <si>
    <t>63,65</t>
  </si>
  <si>
    <t>Call upload works without authentication.</t>
  </si>
  <si>
    <t>117</t>
  </si>
  <si>
    <t>ROI</t>
  </si>
  <si>
    <t>ROI initiatives or analytics do not load.</t>
  </si>
  <si>
    <t>66,68</t>
  </si>
  <si>
    <t>Team</t>
  </si>
  <si>
    <t>Team members list does not load.</t>
  </si>
  <si>
    <t>69</t>
  </si>
  <si>
    <t>FIXED: Add Member button</t>
  </si>
  <si>
    <t>P2</t>
  </si>
  <si>
    <t>Performance data missing.</t>
  </si>
  <si>
    <t>71</t>
  </si>
  <si>
    <t>Projects</t>
  </si>
  <si>
    <t>Projects list does not load.</t>
  </si>
  <si>
    <t>73</t>
  </si>
  <si>
    <t>Event Logs</t>
  </si>
  <si>
    <t>Event log list does not load.</t>
  </si>
  <si>
    <t>76</t>
  </si>
  <si>
    <t>Silent failure when logging events (no error thrown).</t>
  </si>
  <si>
    <t>FIXED: Error now thrown on DB failure</t>
  </si>
  <si>
    <t>Data Migration</t>
  </si>
  <si>
    <t>Import templates missing or import fails.</t>
  </si>
  <si>
    <t>74</t>
  </si>
  <si>
    <t>Table F</t>
  </si>
  <si>
    <t>Table F config/output not loading.</t>
  </si>
  <si>
    <t>78-79</t>
  </si>
  <si>
    <t>Executive</t>
  </si>
  <si>
    <t>Executive dashboard does not load or shows wrong data.</t>
  </si>
  <si>
    <t>91-93</t>
  </si>
  <si>
    <t>FIXED: API parsing corrected</t>
  </si>
  <si>
    <t>Numbers don't match individual module screens.</t>
  </si>
  <si>
    <t>94</t>
  </si>
  <si>
    <t>Scorecard</t>
  </si>
  <si>
    <t>Scorecard snapshot does not load.</t>
  </si>
  <si>
    <t>84</t>
  </si>
  <si>
    <t>Duplicate Radar</t>
  </si>
  <si>
    <t>Duplicate summary does not load.</t>
  </si>
  <si>
    <t>85</t>
  </si>
  <si>
    <t>Zoho scan accessible to non-admin users.</t>
  </si>
  <si>
    <t>118</t>
  </si>
  <si>
    <t>FIXED: requireAdminOrKey added</t>
  </si>
  <si>
    <t>Handoffs</t>
  </si>
  <si>
    <t>Handoff rules or summary does not load.</t>
  </si>
  <si>
    <t>87-88</t>
  </si>
  <si>
    <t>KPI</t>
  </si>
  <si>
    <t>KPI list or summary does not load.</t>
  </si>
  <si>
    <t>89-90</t>
  </si>
  <si>
    <t>Event log writes fake row on DB failure (audit integrity).</t>
  </si>
  <si>
    <t>FIXED: Error propagated instead of fake row</t>
  </si>
  <si>
    <t>Audit fallback does not fire all triggers.</t>
  </si>
  <si>
    <t>FIXED: directAuditRunner trigger chain corrected</t>
  </si>
  <si>
    <t>MBR Reports</t>
  </si>
  <si>
    <t>MBR reports query wrong table names.</t>
  </si>
  <si>
    <t>FIXED: compliance_obligations→obligations, grc_audits→audits</t>
  </si>
  <si>
    <t>Adoption % →</t>
  </si>
  <si>
    <t>👥  Adoption Tracker  —  Mark Y / N / P for each area you use regularly  (30 areas)</t>
  </si>
  <si>
    <t>Y = Yes, using for real work at least weekly   |   N = Not yet   |   P = Partially (tried but not regular)</t>
  </si>
  <si>
    <t>Primary Role</t>
  </si>
  <si>
    <t>Sarah
(Quality / GRC)</t>
  </si>
  <si>
    <t>Mohammed Al Muzini
(Quality / GRC)</t>
  </si>
  <si>
    <t>GRQ Specialist</t>
  </si>
  <si>
    <t>Other / Executive</t>
  </si>
  <si>
    <t>Login &amp; Authentication</t>
  </si>
  <si>
    <t>N</t>
  </si>
  <si>
    <t>Quality Dashboard (Home)</t>
  </si>
  <si>
    <t>Run or Trigger Quality Audit</t>
  </si>
  <si>
    <t>Admin — Governance &amp; Scorecards</t>
  </si>
  <si>
    <t>Admin — Activities / Audit Runs / Triggers</t>
  </si>
  <si>
    <t>QMS Dashboard</t>
  </si>
  <si>
    <t>GRC Control Tower</t>
  </si>
  <si>
    <t>Policy Governance</t>
  </si>
  <si>
    <t>Compliance Tracker</t>
  </si>
  <si>
    <t>Vendor Risk Management</t>
  </si>
  <si>
    <t>PDPL Privacy Compliance</t>
  </si>
  <si>
    <t>Data Migration (Import)</t>
  </si>
  <si>
    <t>ROI Evaluation</t>
  </si>
  <si>
    <t>Team Performance</t>
  </si>
  <si>
    <t>Project Portfolio (PMP)</t>
  </si>
  <si>
    <t>System Event Logs</t>
  </si>
  <si>
    <t>Table F Engine</t>
  </si>
  <si>
    <t>Sandbox</t>
  </si>
  <si>
    <t>Users &amp; Access Control</t>
  </si>
  <si>
    <t>Quality-GRC Handoffs</t>
  </si>
  <si>
    <t>KPI Tracking</t>
  </si>
  <si>
    <t>Executive Dashboard</t>
  </si>
  <si>
    <t>Feedback</t>
  </si>
  <si>
    <t>Onboarding</t>
  </si>
  <si>
    <t>User Guide</t>
  </si>
  <si>
    <t>Scenarios Completed →</t>
  </si>
  <si>
    <t>/ 100</t>
  </si>
  <si>
    <t>🎯  Scenarios  —  100 real-world tasks to build platform confidence</t>
  </si>
  <si>
    <t>How to use: Read the Scenario. Follow the steps in 'How to Do It'. Mark Status as Done/Not done/Blocked.</t>
  </si>
  <si>
    <t>Area</t>
  </si>
  <si>
    <t>Scenario — You need to...</t>
  </si>
  <si>
    <t>How to Do It in the Platform</t>
  </si>
  <si>
    <t>You need to log in for the first time.</t>
  </si>
  <si>
    <t>Go to the login page. Click 'Log in with Replit'. Authenticate via Google/GitHub/Apple/email. You are redirected to the Quality Dashboard.</t>
  </si>
  <si>
    <t>You need to log in as admin using API key.</t>
  </si>
  <si>
    <t>Go to login page. Enter your ADMIN_API_KEY in the admin key field. Click login. You are redirected to the dashboard with admin access.</t>
  </si>
  <si>
    <t>You need to log out securely.</t>
  </si>
  <si>
    <t>Click the logout button or POST to /api/logout. Your session cookie is cleared and you are redirected to the login page.</t>
  </si>
  <si>
    <t>A colleague says they can access pages without logging in.</t>
  </si>
  <si>
    <t>Try opening /qms or /risks in an incognito window. Confirm you are redirected to /login. If not, report as a security issue.</t>
  </si>
  <si>
    <t>You suspect someone is brute-forcing the login page.</t>
  </si>
  <si>
    <t>Try logging in 6+ times rapidly. After 5 attempts in 60 seconds, you should see a 429 Too Many Requests error. This confirms rate limiting.</t>
  </si>
  <si>
    <t>You need to verify your session is secure.</t>
  </si>
  <si>
    <t>Open browser DevTools &gt; Application &gt; Cookies. Check that walaplus_session is HttpOnly, Secure, and SameSite=Lax.</t>
  </si>
  <si>
    <t>You need to check if the admin key cookie is set correctly.</t>
  </si>
  <si>
    <t>After admin login, check cookies in DevTools. The admin_key cookie should be HttpOnly with 8-hour expiry.</t>
  </si>
  <si>
    <t>You need to confirm that OIDC nonce verification is working.</t>
  </si>
  <si>
    <t>Complete a normal login. In the network tab, observe the callback redirects successfully. A tampered nonce would redirect to /login?error=invalid_nonce.</t>
  </si>
  <si>
    <t>You need to check whether your CRM is properly connected before running an audit.</t>
  </si>
  <si>
    <t>Go to /crm and verify Leads data loads. Also check GET /api/integrations/status for connection health.</t>
  </si>
  <si>
    <t>You notice Deals data on the dashboard looks outdated.</t>
  </si>
  <si>
    <t>Check /api/integrations/status. If Zoho shows errors, verify ZOHO_CLIENT_ID/SECRET/REFRESH_TOKEN in Replit Secrets.</t>
  </si>
  <si>
    <t>A colleague asks if all systems feeding the platform are currently working.</t>
  </si>
  <si>
    <t>Open /api/integrations/status. Share the JSON showing Zoho CRM, Google Calendar, and Email system statuses.</t>
  </si>
  <si>
    <t>You want to confirm data is flowing before the weekly review.</t>
  </si>
  <si>
    <t>Check /api/integrations/status. Verify CRM shows a recent sync time. Run AI Audit to force a fresh data pull.</t>
  </si>
  <si>
    <t>Your Zoho account is in Saudi Arabia (.sa) region and CRM won't connect.</t>
  </si>
  <si>
    <t>Set ZOHO_ACCOUNTS_URL=https://accounts.zoho.sa and ZOHO_API_DOMAIN=https://www.zohoapis.sa in Replit Secrets. Restart.</t>
  </si>
  <si>
    <t>You need to browse individual CRM records for a specific lead.</t>
  </si>
  <si>
    <t>Go to /crm, select the Leads tab. Click on a specific lead record to see its detailed fields and hygiene analysis.</t>
  </si>
  <si>
    <t>You need to update the scoring rules before the next audit.</t>
  </si>
  <si>
    <t>Go to /admin. Open Governance Documents. Upload or edit the relevant document for Leads or Deals.</t>
  </si>
  <si>
    <t>A new product category was added and you need a new scorecard.</t>
  </si>
  <si>
    <t>Go to /admin &gt; Scorecards. Create a new scorecard with dimensions, criteria, and weights for the new category.</t>
  </si>
  <si>
    <t>You want to find out who changed a governance document last week.</t>
  </si>
  <si>
    <t>Go to /admin &gt; Activity Log. Filter or scroll to find entries from last week showing document changes.</t>
  </si>
  <si>
    <t>You need to check if this week's scheduled audit ran successfully.</t>
  </si>
  <si>
    <t>Go to /admin &gt; Audit Runs List. Find the most recent entry. Confirm status shows completed.</t>
  </si>
  <si>
    <t>The team wants to know what automatic audits are scheduled.</t>
  </si>
  <si>
    <t>Go to /admin &gt; Automated Triggers. Review trigger types, frequencies, and next scheduled times.</t>
  </si>
  <si>
    <t>You need to invite a new team member to the platform.</t>
  </si>
  <si>
    <t>Go to /users. Click invite. Enter their email. They receive an invite link at /accept-invite.</t>
  </si>
  <si>
    <t>You need to change a user's role from viewer to Quality Manager.</t>
  </si>
  <si>
    <t>Go to /users or GET /api/rbac/users. Find the user. Update their role via PUT /api/rbac/users/:id.</t>
  </si>
  <si>
    <t>You need to deactivate a former employee's access.</t>
  </si>
  <si>
    <t>Go to /users. Find the user. Deactivate their account. Confirm they can no longer log in.</t>
  </si>
  <si>
    <t>The monthly quality review is due and you need fresh audit data.</t>
  </si>
  <si>
    <t>Go to /. Click 'Run AI Audit'. Wait for completion (~15s). Dashboard refreshes with new scores.</t>
  </si>
  <si>
    <t>The Inngest dev server is not running but you need an audit.</t>
  </si>
  <si>
    <t>Click 'Run AI Audit'. The system falls back to directAuditRunner automatically. Same results, no Inngest needed.</t>
  </si>
  <si>
    <t>You want to confirm the audit email was sent.</t>
  </si>
  <si>
    <t>Check the email inbox configured with RESEND_FROM_EMAIL. The quality report email should arrive within 1 minute.</t>
  </si>
  <si>
    <t>You want to confirm all triggers fired after the audit.</t>
  </si>
  <si>
    <t>Go to /qms &gt; Triggers tab. Verify AUDIT_COMPLETED is present. If issues were found, NC_DETECTED and CAPA_REQUIRED too.</t>
  </si>
  <si>
    <t>You want to see how scores changed over time.</t>
  </si>
  <si>
    <t>Go to / &gt; Audit History. Review the timeline of past audit runs with scores.</t>
  </si>
  <si>
    <t>A manager asks for an on-demand audit of Leads only.</t>
  </si>
  <si>
    <t>Run AI Audit from /. The audit automatically covers Leads (SDR agent) and Deals (Sales agent) in parallel.</t>
  </si>
  <si>
    <t>You want to check how many open CAPAs exist.</t>
  </si>
  <si>
    <t>Go to /qms &gt; CAPA tab. Count open/in-progress CAPAs. Note due dates for overdue items.</t>
  </si>
  <si>
    <t>You want to log a new nonconformance from an audit.</t>
  </si>
  <si>
    <t>Go to /qms &gt; NC tab. Click 'New NC'. Fill in title, type, severity, source, assigned_to. Click 'Create NC'.</t>
  </si>
  <si>
    <t>A manager asks for deal evaluation summaries.</t>
  </si>
  <si>
    <t>Go to /qms &gt; Deal Evaluations tab. Review quality evaluations for specific deals.</t>
  </si>
  <si>
    <t>You need to acknowledge an audit trigger.</t>
  </si>
  <si>
    <t>Go to /qms &gt; Triggers tab. Find the AUDIT_COMPLETED trigger. Click 'Acknowledge'.</t>
  </si>
  <si>
    <t>You need to create a CAPA for a critical finding.</t>
  </si>
  <si>
    <t>Go to /qms &gt; CAPA tab. Create new CAPA with type=corrective, root cause analysis, and action items.</t>
  </si>
  <si>
    <t>You want to check training assignments.</t>
  </si>
  <si>
    <t>Go to /qms &gt; Training tab. Review courses and their assignment status.</t>
  </si>
  <si>
    <t>You want to configure evaluation framework dimensions.</t>
  </si>
  <si>
    <t>Go to /qms &gt; Framework tab. Add/edit dimensions, criteria, weights, and pass thresholds.</t>
  </si>
  <si>
    <t>You want to view overall QMS health at a glance.</t>
  </si>
  <si>
    <t>Open /qms. Review the summary cards: Evaluations, Open CAPA, Open NC, Training Completion, Audit Runs.</t>
  </si>
  <si>
    <t>Leadership asks for a one-page GRC status summary.</t>
  </si>
  <si>
    <t>Open /grc. Review all summary cards: Risks, Policies, Compliance, Findings, Vendors, Controls.</t>
  </si>
  <si>
    <t>You want to check if any GRC area has a critical status.</t>
  </si>
  <si>
    <t>Open /grc. Look for red/critical indicators on any card. Drill into that area for details.</t>
  </si>
  <si>
    <t>You need to add a newly identified operational risk.</t>
  </si>
  <si>
    <t>Go to /risks. Click Add Risk. Fill in description, category, likelihood (1-4), impact (1-4). Save.</t>
  </si>
  <si>
    <t>The risk committee asks for a visual summary.</t>
  </si>
  <si>
    <t>Open /risks &gt; Heat Map. Share the 4x4 grid showing risk distribution by likelihood x impact.</t>
  </si>
  <si>
    <t>You need to create a treatment action for a risk.</t>
  </si>
  <si>
    <t>Open a risk at /risks. Add a treatment action with type, owner, due date. Confirm it saves.</t>
  </si>
  <si>
    <t>You want to export all risks for offline review.</t>
  </si>
  <si>
    <t>Go to /risks. Click Export CSV. Open the downloaded file and confirm all risks are included.</t>
  </si>
  <si>
    <t>You need to create a new data protection policy.</t>
  </si>
  <si>
    <t>Go to /policies. Click New Policy. Fill in number, category, title, content, owner. Save as Draft.</t>
  </si>
  <si>
    <t>A policy needs GRC Manager approval before publishing.</t>
  </si>
  <si>
    <t>Open the policy. Click 'Request GRC Approval'. GRC Manager approves. Then click 'Publish'.</t>
  </si>
  <si>
    <t>You want to check which policies are due for review.</t>
  </si>
  <si>
    <t>Go to /policies. Look for policies with overdue review dates or filter by status.</t>
  </si>
  <si>
    <t>A new regulation was published. You need to add it.</t>
  </si>
  <si>
    <t>Go to /compliance. Add regulation with name, jurisdiction, effective date, requirements.</t>
  </si>
  <si>
    <t>You need to check overdue compliance obligations.</t>
  </si>
  <si>
    <t>Go to /compliance &gt; Obligations. Filter for overdue items. Escalate as needed.</t>
  </si>
  <si>
    <t>An external auditor is coming. You need to see what's prepared.</t>
  </si>
  <si>
    <t>Go to /audits. Find the upcoming audit. Review checklist completion and evidence pack status.</t>
  </si>
  <si>
    <t>The DPO asks for the current PDPL compliance status.</t>
  </si>
  <si>
    <t>Open /pdpl. Review the compliance status indicators and any outstanding obligations.</t>
  </si>
  <si>
    <t>You need to record a new data processing activity.</t>
  </si>
  <si>
    <t>Go to /pdpl &gt; Data Inventory. Add a new entry with purpose, legal basis, data categories.</t>
  </si>
  <si>
    <t>A data subject requests access to their data (DSAR).</t>
  </si>
  <si>
    <t>Go to /pdpl. Submit a new DSAR request. Track its status (30-day SLA per PDPL Article 14).</t>
  </si>
  <si>
    <t>A data breach has been detected.</t>
  </si>
  <si>
    <t>Go to /pdpl. Log a new data incident with severity and details. Follow the 72-hour SDAIA notification timeline.</t>
  </si>
  <si>
    <t>You want to verify AI guardrails are configured.</t>
  </si>
  <si>
    <t>Check /api/pdpl/guardrails. Confirm PII masking patterns are present.</t>
  </si>
  <si>
    <t>You need to assess a new vendor's risk.</t>
  </si>
  <si>
    <t>Go to /vendors. Add the vendor. Complete a risk assessment with security scoring.</t>
  </si>
  <si>
    <t>Procurement asks for a summary of high-risk vendors.</t>
  </si>
  <si>
    <t>Go to /vendors. Filter or review the risk summary for High/Critical-rated vendors.</t>
  </si>
  <si>
    <t>Your manager asks for a call quality summary this week.</t>
  </si>
  <si>
    <t>Go to /calls. Review analytics: call volume, QA scores, sentiment trends.</t>
  </si>
  <si>
    <t>You need to upload a call recording for analysis.</t>
  </si>
  <si>
    <t>Go to /calls. Use the upload function to submit a recording. Wait for AI analysis results.</t>
  </si>
  <si>
    <t>Leadership asks which initiatives delivered the best ROI.</t>
  </si>
  <si>
    <t>Go to /roi. Review analytics. Rank initiatives by ROI value.</t>
  </si>
  <si>
    <t>You need to create a new quality improvement initiative.</t>
  </si>
  <si>
    <t>Go to /roi. Add new initiative with expected benefits, costs, and timeline. AI validates financial claims.</t>
  </si>
  <si>
    <t>A team leader asks for quality scores of their team.</t>
  </si>
  <si>
    <t>Go to /team &gt; Overview. Review performance metrics and scores for the team.</t>
  </si>
  <si>
    <t>You need to add a new team member.</t>
  </si>
  <si>
    <t>Go to /team &gt; Team Members. Click Add Member. Fill in name, email, role, department. Save.</t>
  </si>
  <si>
    <t>HR asks for the complete team member list.</t>
  </si>
  <si>
    <t>Go to /team &gt; Team Members. Export or review the full list with roles and departments.</t>
  </si>
  <si>
    <t>You want to see all active improvement projects.</t>
  </si>
  <si>
    <t>Go to /projects. Filter for active status. Review owner, milestones, and risks.</t>
  </si>
  <si>
    <t>A project has a scope change. You need to log it.</t>
  </si>
  <si>
    <t>Go to /projects. Open the project. Add a change request with type and impact details.</t>
  </si>
  <si>
    <t>You need to investigate who deleted a record yesterday.</t>
  </si>
  <si>
    <t>Go to /logs. Filter by yesterday's date and 'delete' action type. Identify the user.</t>
  </si>
  <si>
    <t>You want to confirm a scheduled audit ran on time.</t>
  </si>
  <si>
    <t>Go to /logs. Search for audit trigger events. Confirm timestamp matches expected schedule.</t>
  </si>
  <si>
    <t>You want to compare quality scores across teams.</t>
  </si>
  <si>
    <t>Go to /scorecard. Review snapshots per team/employee. Compare against targets.</t>
  </si>
  <si>
    <t>You want to check duplicate leads before an import.</t>
  </si>
  <si>
    <t>Go to /duplicates. Review duplicate cluster counts. Clean up before importing.</t>
  </si>
  <si>
    <t>You want to run a fresh duplicate scan from Zoho.</t>
  </si>
  <si>
    <t>POST /api/duplicates/scan-zoho (admin only). Wait for scan to complete. Review new clusters.</t>
  </si>
  <si>
    <t>You want to check if the team is on track for quarterly KPIs.</t>
  </si>
  <si>
    <t>Go to /kpis. Review current values vs targets. Flag at-risk KPIs.</t>
  </si>
  <si>
    <t>A new KPI was approved. You need to add it.</t>
  </si>
  <si>
    <t>Go to /kpis. Add new KPI with name, target, measurement frequency, and owner.</t>
  </si>
  <si>
    <t>A quality issue was escalated to GRC. You want to check its status.</t>
  </si>
  <si>
    <t>Go to /api/handoff/events. Find the relevant handoff. Check its current status.</t>
  </si>
  <si>
    <t>You want to verify rate limiting is working.</t>
  </si>
  <si>
    <t>Open DevTools. Call GET /api/dashboard 11 times rapidly without auth. The 11th should return 429.</t>
  </si>
  <si>
    <t>You want to test that SQL injection is blocked.</t>
  </si>
  <si>
    <t>Try GET /api/dashboard?days=1;DROP TABLE--. The response should be normal (no error, days clamped).</t>
  </si>
  <si>
    <t>You want to verify path traversal is blocked.</t>
  </si>
  <si>
    <t>Try GET /api/kpis/docs/screenshots/../../etc/passwd. Should return 400 error, not file contents.</t>
  </si>
  <si>
    <t>You want to check CSP headers are present.</t>
  </si>
  <si>
    <t>Open DevTools &gt; Network. Click any page request. Check Response Headers for Content-Security-Policy.</t>
  </si>
  <si>
    <t>You want to verify non-admin users can't access RBAC endpoints.</t>
  </si>
  <si>
    <t>Log in as a Department Viewer. Try GET /api/rbac/users. Should get 401.</t>
  </si>
  <si>
    <t>You want to confirm error messages don't leak internal details.</t>
  </si>
  <si>
    <t>Try creating a duplicate record. The error should be generic, not showing SQL constraint names.</t>
  </si>
  <si>
    <t>You want to verify CORS blocks unauthorized origins.</t>
  </si>
  <si>
    <t>Use curl with -H 'Origin: https://evil.com'. The response should not include Access-Control-Allow-Origin for that domain.</t>
  </si>
  <si>
    <t>You want to confirm the Telegram webhook requires a secret.</t>
  </si>
  <si>
    <t>POST to /webhooks/telegram/action without the secret parameter. Should get 401 if TELEGRAM_WEBHOOK_SECRET is set.</t>
  </si>
  <si>
    <t>You want to verify IDs are obfuscated in API responses.</t>
  </si>
  <si>
    <t>GET /api/risks. Risk IDs should use R-XXXXXXXX format, not sequential integers.</t>
  </si>
  <si>
    <t>You want to verify XSS is prevented.</t>
  </si>
  <si>
    <t>Create a risk with title '&lt;script&gt;alert(1)&lt;/script&gt;'. View it. The script tags should be stripped.</t>
  </si>
  <si>
    <t>You want to confirm CSV export sanitizes formula characters.</t>
  </si>
  <si>
    <t>Create a record with title '=SUM(A1)'. Export to CSV. The cell should be prefixed with a single quote.</t>
  </si>
  <si>
    <t>You want to verify the logout is POST-only.</t>
  </si>
  <si>
    <t>Try GET /api/logout. Should fail or not clear session. Only POST should clear the session.</t>
  </si>
  <si>
    <t>The CEO asks for a one-screen summary before the board meeting.</t>
  </si>
  <si>
    <t>Open /executive. Review Quality, Risk, Compliance, and KPI summaries.</t>
  </si>
  <si>
    <t>You want to verify Executive Dashboard numbers are accurate.</t>
  </si>
  <si>
    <t>Compare a number (e.g., open risks) on /executive with the actual count on /risks.</t>
  </si>
  <si>
    <t>A board member asks how quality trended over the quarter.</t>
  </si>
  <si>
    <t>Open /executive. Find the quality trend section. Share the 3-month trend chart.</t>
  </si>
  <si>
    <t>Cross-Module</t>
  </si>
  <si>
    <t>You want to verify quality-to-GRC handoff rules.</t>
  </si>
  <si>
    <t>Create a critical NC in /qms. Check if a corresponding handoff event appears in /api/handoff/events.</t>
  </si>
  <si>
    <t>You want to verify the onboarding flow for new users.</t>
  </si>
  <si>
    <t>Log in as a new user (or clear onboarding status). Go to /onboarding. Step through the guided tour.</t>
  </si>
  <si>
    <t>You want to submit feedback about the platform.</t>
  </si>
  <si>
    <t>Click the floating 'Give Feedback' button (bottom-right). Fill in and submit your feedback.</t>
  </si>
  <si>
    <t>You want to check the user guide.</t>
  </si>
  <si>
    <t>Go to /guide. Confirm it loads without requiring login (public page).</t>
  </si>
  <si>
    <t>You need to verify the health check endpoint.</t>
  </si>
  <si>
    <t>GET /api/health. Should return 200 OK with platform status. No auth required.</t>
  </si>
  <si>
    <t>You want to test features without affecting live data.</t>
  </si>
  <si>
    <t>Go to /sandbox. Generate mock leads/deals. Confirm they don't appear in /crm (live data).</t>
  </si>
  <si>
    <t>A new team member wants to practice before going live.</t>
  </si>
  <si>
    <t>Direct them to /sandbox. Have them explore dashboards using mock data.</t>
  </si>
  <si>
    <t>You want to test mock data generation.</t>
  </si>
  <si>
    <t>GET /api/sandbox/leads and /api/sandbox/deals. Confirm mock data returns.</t>
  </si>
  <si>
    <t>You need to import leads from Excel.</t>
  </si>
  <si>
    <t>Go to /migration. Download the import template. Fill it in. Upload and monitor the import job.</t>
  </si>
  <si>
    <t>An import job failed. You need to investigate.</t>
  </si>
  <si>
    <t>Go to /migration. Find the failed job. Review error details. Fix the source file and retry.</t>
  </si>
  <si>
    <t>You want to check dedup rules before import.</t>
  </si>
  <si>
    <t>Go to /migration. Review dedup rules to ensure duplicates won't be created.</t>
  </si>
  <si>
    <t>You want to confirm Table F classifies leads correctly.</t>
  </si>
  <si>
    <t>Go to /tablef. Review output for sample records. Confirm categories match governance rules.</t>
  </si>
  <si>
    <t>A new governance rule was added. Verify Table F uses it.</t>
  </si>
  <si>
    <t>Upload the updated governance doc. Run Table F processing. Check output includes the new rule.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</si>
</sst>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2" x14ac:knownFonts="1">
    <font>
      <sz val="11"/>
      <color theme="1"/>
      <name val="Calibri"/>
      <family val="2"/>
      <scheme val="minor"/>
    </font>
    <font>
      <b/>
      <sz val="13"/>
      <color rgb="FF6C3FA0"/>
      <name val="Calibri"/>
    </font>
    <font>
      <b/>
      <sz val="11"/>
      <color rgb="FFFFFFFF"/>
      <name val="Calibri"/>
    </font>
    <font>
      <b/>
      <sz val="11"/>
      <color rgb="FFE74C3C"/>
      <name val="Calibri"/>
    </font>
    <font>
      <b/>
      <sz val="11"/>
      <color rgb="FFF39C12"/>
      <name val="Calibri"/>
    </font>
    <font>
      <b/>
      <sz val="16"/>
      <color rgb="FF6C3FA0"/>
      <name val="Calibri"/>
    </font>
    <font>
      <sz val="11"/>
      <color rgb="FF666666"/>
      <name val="Calibri"/>
    </font>
    <font>
      <b/>
      <sz val="12"/>
      <name val="Calibri"/>
    </font>
    <font>
      <b/>
      <sz val="11"/>
      <color rgb="FF6C3FA0"/>
      <name val="Calibri"/>
    </font>
    <font>
      <sz val="10"/>
      <color rgb="FF333333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6C3FA0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/>
  </sheetViews>
  <sheetFormatPr defaultRowHeight="14.5" x14ac:dyDescent="0.35"/>
  <cols>
    <col min="1" max="1" width="20" customWidth="1"/>
    <col min="2" max="2" width="18" customWidth="1"/>
    <col min="3" max="3" width="5" customWidth="1"/>
    <col min="4" max="4" width="18" customWidth="1"/>
    <col min="5" max="5" width="5" customWidth="1"/>
    <col min="6" max="6" width="18" customWidth="1"/>
    <col min="7" max="7" width="5" customWidth="1"/>
    <col min="8" max="8" width="18" customWidth="1"/>
  </cols>
  <sheetData>
    <row r="1" spans="1:8" ht="21" x14ac:dyDescent="0.5">
      <c r="A1" s="1" t="s">
        <v>0</v>
      </c>
    </row>
    <row r="2" spans="1:8" x14ac:dyDescent="0.35">
      <c r="A2" s="2" t="s">
        <v>1</v>
      </c>
    </row>
    <row r="4" spans="1:8" ht="15.5" x14ac:dyDescent="0.35">
      <c r="A4" s="3" t="s">
        <v>2</v>
      </c>
    </row>
    <row r="5" spans="1:8" x14ac:dyDescent="0.35">
      <c r="B5" s="4" t="s">
        <v>3</v>
      </c>
      <c r="D5" s="4" t="s">
        <v>4</v>
      </c>
      <c r="F5" s="4" t="s">
        <v>5</v>
      </c>
      <c r="H5" s="4" t="s">
        <v>6</v>
      </c>
    </row>
    <row r="6" spans="1:8" x14ac:dyDescent="0.35">
      <c r="B6">
        <f>'🧪 Testing Tracker'!B1</f>
        <v>81.666666666666671</v>
      </c>
      <c r="D6">
        <f>'🔍 Expected Issues'!B1</f>
        <v>100</v>
      </c>
      <c r="F6">
        <f>'👥 Adoption Tracker'!B1</f>
        <v>0</v>
      </c>
      <c r="H6">
        <f>'🎯 Scenarios'!B1</f>
        <v>78</v>
      </c>
    </row>
    <row r="7" spans="1:8" x14ac:dyDescent="0.35">
      <c r="B7" t="s">
        <v>7</v>
      </c>
      <c r="D7" t="s">
        <v>8</v>
      </c>
      <c r="F7" t="s">
        <v>9</v>
      </c>
      <c r="H7" t="s">
        <v>10</v>
      </c>
    </row>
    <row r="9" spans="1:8" ht="15.5" x14ac:dyDescent="0.35">
      <c r="A9" s="3" t="s">
        <v>11</v>
      </c>
    </row>
    <row r="10" spans="1:8" x14ac:dyDescent="0.35">
      <c r="A10" s="5" t="s">
        <v>12</v>
      </c>
    </row>
    <row r="11" spans="1:8" x14ac:dyDescent="0.35">
      <c r="A11" s="5" t="s">
        <v>13</v>
      </c>
    </row>
    <row r="12" spans="1:8" x14ac:dyDescent="0.35">
      <c r="A12" s="5" t="s">
        <v>14</v>
      </c>
    </row>
    <row r="13" spans="1:8" x14ac:dyDescent="0.35">
      <c r="A13" s="5" t="s">
        <v>15</v>
      </c>
    </row>
    <row r="14" spans="1:8" x14ac:dyDescent="0.35">
      <c r="A14" s="5" t="s">
        <v>16</v>
      </c>
    </row>
    <row r="15" spans="1:8" x14ac:dyDescent="0.35">
      <c r="A15" s="5" t="s">
        <v>17</v>
      </c>
    </row>
    <row r="16" spans="1:8" x14ac:dyDescent="0.35">
      <c r="A16" s="5" t="s">
        <v>18</v>
      </c>
    </row>
    <row r="17" spans="1:1" x14ac:dyDescent="0.35">
      <c r="A17" s="5" t="s">
        <v>19</v>
      </c>
    </row>
    <row r="18" spans="1:1" x14ac:dyDescent="0.35">
      <c r="A18" s="5" t="s">
        <v>20</v>
      </c>
    </row>
    <row r="20" spans="1:1" ht="15.5" x14ac:dyDescent="0.35">
      <c r="A20" s="3" t="s">
        <v>21</v>
      </c>
    </row>
    <row r="21" spans="1:1" x14ac:dyDescent="0.35">
      <c r="A21" s="5" t="s">
        <v>22</v>
      </c>
    </row>
    <row r="22" spans="1:1" x14ac:dyDescent="0.35">
      <c r="A22" s="5" t="s">
        <v>23</v>
      </c>
    </row>
    <row r="23" spans="1:1" x14ac:dyDescent="0.35">
      <c r="A23" s="5" t="s">
        <v>24</v>
      </c>
    </row>
    <row r="24" spans="1:1" x14ac:dyDescent="0.35">
      <c r="A24" s="5" t="s">
        <v>25</v>
      </c>
    </row>
    <row r="25" spans="1:1" x14ac:dyDescent="0.35">
      <c r="A25" s="5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124"/>
  <sheetViews>
    <sheetView tabSelected="1" workbookViewId="0">
      <pane ySplit="4" topLeftCell="A99" activePane="bottomLeft" state="frozen"/>
      <selection pane="bottomLeft" activeCell="L8" sqref="L8"/>
    </sheetView>
  </sheetViews>
  <sheetFormatPr defaultRowHeight="14.5" x14ac:dyDescent="0.35"/>
  <cols>
    <col min="1" max="1" width="6.26953125" style="11" customWidth="1"/>
    <col min="2" max="2" width="6.36328125" style="11" bestFit="1" customWidth="1"/>
    <col min="3" max="3" width="11.54296875" style="11" bestFit="1" customWidth="1"/>
    <col min="4" max="4" width="32" style="22" customWidth="1"/>
    <col min="5" max="5" width="31.1796875" style="22" customWidth="1"/>
    <col min="6" max="6" width="34.90625" style="22" customWidth="1"/>
    <col min="7" max="7" width="34.54296875" style="22" customWidth="1"/>
    <col min="8" max="8" width="12" style="11" customWidth="1"/>
    <col min="9" max="9" width="10" style="11" customWidth="1"/>
    <col min="10" max="10" width="16" style="11" customWidth="1"/>
    <col min="11" max="11" width="18" style="15" customWidth="1"/>
    <col min="12" max="12" width="16" style="15" customWidth="1"/>
    <col min="13" max="13" width="35.26953125" style="22" customWidth="1"/>
    <col min="14" max="16384" width="8.7265625" style="22"/>
  </cols>
  <sheetData>
    <row r="1" spans="1:13" x14ac:dyDescent="0.35">
      <c r="A1" s="25" t="s">
        <v>27</v>
      </c>
      <c r="B1" s="28">
        <f>COUNTIF(L5:L124,"Done")/COUNTA(L5:L124)*100</f>
        <v>81.666666666666671</v>
      </c>
    </row>
    <row r="2" spans="1:13" ht="17" x14ac:dyDescent="0.35">
      <c r="A2" s="27" t="s">
        <v>28</v>
      </c>
    </row>
    <row r="3" spans="1:13" x14ac:dyDescent="0.35">
      <c r="A3" s="25" t="s">
        <v>29</v>
      </c>
    </row>
    <row r="4" spans="1:13" ht="29" x14ac:dyDescent="0.35">
      <c r="A4" s="8" t="s">
        <v>30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16" t="s">
        <v>40</v>
      </c>
      <c r="L4" s="16" t="s">
        <v>41</v>
      </c>
      <c r="M4" s="8" t="s">
        <v>42</v>
      </c>
    </row>
    <row r="5" spans="1:13" ht="29" x14ac:dyDescent="0.35">
      <c r="A5" s="13">
        <v>1</v>
      </c>
      <c r="B5" s="13">
        <v>1</v>
      </c>
      <c r="C5" s="29" t="s">
        <v>43</v>
      </c>
      <c r="D5" s="23" t="s">
        <v>44</v>
      </c>
      <c r="E5" s="23" t="s">
        <v>45</v>
      </c>
      <c r="F5" s="23" t="s">
        <v>46</v>
      </c>
      <c r="G5" s="23" t="s">
        <v>47</v>
      </c>
      <c r="H5" s="13" t="s">
        <v>48</v>
      </c>
      <c r="I5" s="13" t="s">
        <v>49</v>
      </c>
      <c r="J5" s="13" t="s">
        <v>50</v>
      </c>
      <c r="K5" s="19" t="s">
        <v>82</v>
      </c>
      <c r="L5" s="17" t="s">
        <v>51</v>
      </c>
      <c r="M5" s="23" t="s">
        <v>52</v>
      </c>
    </row>
    <row r="6" spans="1:13" ht="29" x14ac:dyDescent="0.35">
      <c r="A6" s="14">
        <v>2</v>
      </c>
      <c r="B6" s="14">
        <v>2</v>
      </c>
      <c r="C6" s="29" t="s">
        <v>43</v>
      </c>
      <c r="D6" s="24" t="s">
        <v>53</v>
      </c>
      <c r="E6" s="24" t="s">
        <v>54</v>
      </c>
      <c r="F6" s="24" t="s">
        <v>55</v>
      </c>
      <c r="G6" s="24" t="s">
        <v>56</v>
      </c>
      <c r="H6" s="14" t="s">
        <v>57</v>
      </c>
      <c r="I6" s="14" t="s">
        <v>49</v>
      </c>
      <c r="J6" s="14" t="s">
        <v>50</v>
      </c>
      <c r="K6" s="19" t="s">
        <v>82</v>
      </c>
      <c r="L6" s="17" t="s">
        <v>51</v>
      </c>
      <c r="M6" s="24" t="s">
        <v>58</v>
      </c>
    </row>
    <row r="7" spans="1:13" ht="29" x14ac:dyDescent="0.35">
      <c r="A7" s="13">
        <v>3</v>
      </c>
      <c r="B7" s="13">
        <v>3</v>
      </c>
      <c r="C7" s="29" t="s">
        <v>43</v>
      </c>
      <c r="D7" s="23" t="s">
        <v>59</v>
      </c>
      <c r="E7" s="23" t="s">
        <v>60</v>
      </c>
      <c r="F7" s="23" t="s">
        <v>61</v>
      </c>
      <c r="G7" s="23" t="s">
        <v>62</v>
      </c>
      <c r="H7" s="13" t="s">
        <v>57</v>
      </c>
      <c r="I7" s="13" t="s">
        <v>49</v>
      </c>
      <c r="J7" s="13" t="s">
        <v>50</v>
      </c>
      <c r="K7" s="23"/>
      <c r="L7" s="18" t="s">
        <v>63</v>
      </c>
      <c r="M7" s="23" t="s">
        <v>64</v>
      </c>
    </row>
    <row r="8" spans="1:13" ht="29" x14ac:dyDescent="0.35">
      <c r="A8" s="14">
        <v>4</v>
      </c>
      <c r="B8" s="14">
        <v>4</v>
      </c>
      <c r="C8" s="29" t="s">
        <v>43</v>
      </c>
      <c r="D8" s="24" t="s">
        <v>65</v>
      </c>
      <c r="E8" s="24" t="s">
        <v>66</v>
      </c>
      <c r="F8" s="24" t="s">
        <v>67</v>
      </c>
      <c r="G8" s="24" t="s">
        <v>68</v>
      </c>
      <c r="H8" s="14" t="s">
        <v>69</v>
      </c>
      <c r="I8" s="14" t="s">
        <v>49</v>
      </c>
      <c r="J8" s="14" t="s">
        <v>50</v>
      </c>
      <c r="K8" s="19" t="s">
        <v>82</v>
      </c>
      <c r="L8" s="17" t="s">
        <v>51</v>
      </c>
      <c r="M8" s="24" t="s">
        <v>70</v>
      </c>
    </row>
    <row r="9" spans="1:13" ht="29" x14ac:dyDescent="0.35">
      <c r="A9" s="13">
        <v>5</v>
      </c>
      <c r="B9" s="13">
        <v>5</v>
      </c>
      <c r="C9" s="29" t="s">
        <v>43</v>
      </c>
      <c r="D9" s="23" t="s">
        <v>71</v>
      </c>
      <c r="E9" s="23" t="s">
        <v>72</v>
      </c>
      <c r="F9" s="23" t="s">
        <v>73</v>
      </c>
      <c r="G9" s="23" t="s">
        <v>74</v>
      </c>
      <c r="H9" s="13" t="s">
        <v>69</v>
      </c>
      <c r="I9" s="13" t="s">
        <v>49</v>
      </c>
      <c r="J9" s="13" t="s">
        <v>50</v>
      </c>
      <c r="K9" s="19" t="s">
        <v>82</v>
      </c>
      <c r="L9" s="17" t="s">
        <v>51</v>
      </c>
      <c r="M9" s="23" t="s">
        <v>75</v>
      </c>
    </row>
    <row r="10" spans="1:13" ht="43.5" x14ac:dyDescent="0.35">
      <c r="A10" s="14">
        <v>6</v>
      </c>
      <c r="B10" s="14">
        <v>6</v>
      </c>
      <c r="C10" s="29" t="s">
        <v>43</v>
      </c>
      <c r="D10" s="24" t="s">
        <v>76</v>
      </c>
      <c r="E10" s="24" t="s">
        <v>77</v>
      </c>
      <c r="F10" s="24" t="s">
        <v>78</v>
      </c>
      <c r="G10" s="24" t="s">
        <v>79</v>
      </c>
      <c r="H10" s="14" t="s">
        <v>80</v>
      </c>
      <c r="I10" s="14" t="s">
        <v>49</v>
      </c>
      <c r="J10" s="14" t="s">
        <v>81</v>
      </c>
      <c r="K10" s="24"/>
      <c r="L10" s="18" t="s">
        <v>63</v>
      </c>
      <c r="M10" s="24" t="s">
        <v>83</v>
      </c>
    </row>
    <row r="11" spans="1:13" ht="29" x14ac:dyDescent="0.35">
      <c r="A11" s="13">
        <v>7</v>
      </c>
      <c r="B11" s="13">
        <v>7</v>
      </c>
      <c r="C11" s="29" t="s">
        <v>43</v>
      </c>
      <c r="D11" s="23" t="s">
        <v>84</v>
      </c>
      <c r="E11" s="23" t="s">
        <v>85</v>
      </c>
      <c r="F11" s="23" t="s">
        <v>86</v>
      </c>
      <c r="G11" s="23" t="s">
        <v>87</v>
      </c>
      <c r="H11" s="13" t="s">
        <v>88</v>
      </c>
      <c r="I11" s="13" t="s">
        <v>49</v>
      </c>
      <c r="J11" s="13" t="s">
        <v>81</v>
      </c>
      <c r="K11" s="23"/>
      <c r="L11" s="18" t="s">
        <v>63</v>
      </c>
      <c r="M11" s="23" t="s">
        <v>89</v>
      </c>
    </row>
    <row r="12" spans="1:13" ht="29" x14ac:dyDescent="0.35">
      <c r="A12" s="14">
        <v>8</v>
      </c>
      <c r="B12" s="14">
        <v>8</v>
      </c>
      <c r="C12" s="30" t="s">
        <v>90</v>
      </c>
      <c r="D12" s="24" t="s">
        <v>91</v>
      </c>
      <c r="E12" s="24" t="s">
        <v>92</v>
      </c>
      <c r="F12" s="24" t="s">
        <v>93</v>
      </c>
      <c r="G12" s="24" t="s">
        <v>94</v>
      </c>
      <c r="H12" s="14" t="s">
        <v>88</v>
      </c>
      <c r="I12" s="14" t="s">
        <v>49</v>
      </c>
      <c r="J12" s="14" t="s">
        <v>81</v>
      </c>
      <c r="K12" s="24"/>
      <c r="L12" s="18" t="s">
        <v>63</v>
      </c>
      <c r="M12" s="24" t="s">
        <v>89</v>
      </c>
    </row>
    <row r="13" spans="1:13" ht="29" x14ac:dyDescent="0.35">
      <c r="A13" s="13">
        <v>9</v>
      </c>
      <c r="B13" s="13">
        <v>9</v>
      </c>
      <c r="C13" s="30" t="s">
        <v>90</v>
      </c>
      <c r="D13" s="23" t="s">
        <v>95</v>
      </c>
      <c r="E13" s="23" t="s">
        <v>96</v>
      </c>
      <c r="F13" s="23" t="s">
        <v>97</v>
      </c>
      <c r="G13" s="23" t="s">
        <v>98</v>
      </c>
      <c r="H13" s="13" t="s">
        <v>88</v>
      </c>
      <c r="I13" s="13" t="s">
        <v>49</v>
      </c>
      <c r="J13" s="13" t="s">
        <v>81</v>
      </c>
      <c r="K13" s="23"/>
      <c r="L13" s="18" t="s">
        <v>63</v>
      </c>
      <c r="M13" s="23" t="s">
        <v>89</v>
      </c>
    </row>
    <row r="14" spans="1:13" ht="43.5" x14ac:dyDescent="0.35">
      <c r="A14" s="14">
        <v>10</v>
      </c>
      <c r="B14" s="14">
        <v>10</v>
      </c>
      <c r="C14" s="30" t="s">
        <v>90</v>
      </c>
      <c r="D14" s="24" t="s">
        <v>99</v>
      </c>
      <c r="E14" s="24" t="s">
        <v>100</v>
      </c>
      <c r="F14" s="24" t="s">
        <v>101</v>
      </c>
      <c r="G14" s="24" t="s">
        <v>102</v>
      </c>
      <c r="H14" s="14" t="s">
        <v>103</v>
      </c>
      <c r="I14" s="14" t="s">
        <v>49</v>
      </c>
      <c r="J14" s="14" t="s">
        <v>81</v>
      </c>
      <c r="K14" s="24"/>
      <c r="L14" s="18" t="s">
        <v>63</v>
      </c>
      <c r="M14" s="24" t="s">
        <v>104</v>
      </c>
    </row>
    <row r="15" spans="1:13" ht="29" x14ac:dyDescent="0.35">
      <c r="A15" s="13">
        <v>11</v>
      </c>
      <c r="B15" s="13">
        <v>11</v>
      </c>
      <c r="C15" s="30" t="s">
        <v>90</v>
      </c>
      <c r="D15" s="23" t="s">
        <v>105</v>
      </c>
      <c r="E15" s="23" t="s">
        <v>106</v>
      </c>
      <c r="F15" s="23" t="s">
        <v>107</v>
      </c>
      <c r="G15" s="23" t="s">
        <v>108</v>
      </c>
      <c r="H15" s="13" t="s">
        <v>48</v>
      </c>
      <c r="I15" s="13" t="s">
        <v>49</v>
      </c>
      <c r="J15" s="13" t="s">
        <v>50</v>
      </c>
      <c r="K15" s="19" t="s">
        <v>82</v>
      </c>
      <c r="L15" s="17" t="s">
        <v>51</v>
      </c>
      <c r="M15" s="23" t="s">
        <v>109</v>
      </c>
    </row>
    <row r="16" spans="1:13" ht="29" x14ac:dyDescent="0.35">
      <c r="A16" s="14">
        <v>12</v>
      </c>
      <c r="B16" s="14">
        <v>12</v>
      </c>
      <c r="C16" s="30" t="s">
        <v>90</v>
      </c>
      <c r="D16" s="24" t="s">
        <v>110</v>
      </c>
      <c r="E16" s="24" t="s">
        <v>111</v>
      </c>
      <c r="F16" s="24" t="s">
        <v>112</v>
      </c>
      <c r="G16" s="24" t="s">
        <v>113</v>
      </c>
      <c r="H16" s="14" t="s">
        <v>48</v>
      </c>
      <c r="I16" s="14" t="s">
        <v>49</v>
      </c>
      <c r="J16" s="14" t="s">
        <v>50</v>
      </c>
      <c r="K16" s="21" t="s">
        <v>82</v>
      </c>
      <c r="L16" s="17" t="s">
        <v>51</v>
      </c>
      <c r="M16" s="24" t="s">
        <v>114</v>
      </c>
    </row>
    <row r="17" spans="1:13" ht="29" x14ac:dyDescent="0.35">
      <c r="A17" s="13">
        <v>13</v>
      </c>
      <c r="B17" s="13">
        <v>13</v>
      </c>
      <c r="C17" s="29" t="s">
        <v>43</v>
      </c>
      <c r="D17" s="23" t="s">
        <v>115</v>
      </c>
      <c r="E17" s="23" t="s">
        <v>116</v>
      </c>
      <c r="F17" s="23" t="s">
        <v>117</v>
      </c>
      <c r="G17" s="23" t="s">
        <v>118</v>
      </c>
      <c r="H17" s="13" t="s">
        <v>80</v>
      </c>
      <c r="I17" s="13" t="s">
        <v>119</v>
      </c>
      <c r="J17" s="13" t="s">
        <v>50</v>
      </c>
      <c r="K17" s="23"/>
      <c r="L17" s="18" t="s">
        <v>63</v>
      </c>
      <c r="M17" s="23" t="s">
        <v>64</v>
      </c>
    </row>
    <row r="18" spans="1:13" ht="43.5" x14ac:dyDescent="0.35">
      <c r="A18" s="14">
        <v>14</v>
      </c>
      <c r="B18" s="14">
        <v>14</v>
      </c>
      <c r="C18" s="29" t="s">
        <v>43</v>
      </c>
      <c r="D18" s="24" t="s">
        <v>120</v>
      </c>
      <c r="E18" s="24" t="s">
        <v>121</v>
      </c>
      <c r="F18" s="24" t="s">
        <v>122</v>
      </c>
      <c r="G18" s="24" t="s">
        <v>123</v>
      </c>
      <c r="H18" s="14" t="s">
        <v>124</v>
      </c>
      <c r="I18" s="14" t="s">
        <v>119</v>
      </c>
      <c r="J18" s="14" t="s">
        <v>50</v>
      </c>
      <c r="K18" s="24"/>
      <c r="L18" s="18" t="s">
        <v>63</v>
      </c>
      <c r="M18" s="24" t="s">
        <v>64</v>
      </c>
    </row>
    <row r="19" spans="1:13" ht="43.5" x14ac:dyDescent="0.35">
      <c r="A19" s="13">
        <v>15</v>
      </c>
      <c r="B19" s="13">
        <v>15</v>
      </c>
      <c r="C19" s="29" t="s">
        <v>43</v>
      </c>
      <c r="D19" s="23" t="s">
        <v>125</v>
      </c>
      <c r="E19" s="23" t="s">
        <v>126</v>
      </c>
      <c r="F19" s="23" t="s">
        <v>127</v>
      </c>
      <c r="G19" s="23" t="s">
        <v>128</v>
      </c>
      <c r="H19" s="13" t="s">
        <v>129</v>
      </c>
      <c r="I19" s="13" t="s">
        <v>119</v>
      </c>
      <c r="J19" s="13" t="s">
        <v>50</v>
      </c>
      <c r="K19" s="23"/>
      <c r="L19" s="18" t="s">
        <v>63</v>
      </c>
      <c r="M19" s="23" t="s">
        <v>64</v>
      </c>
    </row>
    <row r="20" spans="1:13" ht="43.5" x14ac:dyDescent="0.35">
      <c r="A20" s="14">
        <v>16</v>
      </c>
      <c r="B20" s="14">
        <v>16</v>
      </c>
      <c r="C20" s="30" t="s">
        <v>90</v>
      </c>
      <c r="D20" s="24" t="s">
        <v>130</v>
      </c>
      <c r="E20" s="24" t="s">
        <v>131</v>
      </c>
      <c r="F20" s="24" t="s">
        <v>132</v>
      </c>
      <c r="G20" s="24" t="s">
        <v>133</v>
      </c>
      <c r="H20" s="14" t="s">
        <v>134</v>
      </c>
      <c r="I20" s="14" t="s">
        <v>119</v>
      </c>
      <c r="J20" s="14" t="s">
        <v>50</v>
      </c>
      <c r="K20" s="24"/>
      <c r="L20" s="18" t="s">
        <v>63</v>
      </c>
      <c r="M20" s="24" t="s">
        <v>64</v>
      </c>
    </row>
    <row r="21" spans="1:13" ht="43.5" x14ac:dyDescent="0.35">
      <c r="A21" s="13">
        <v>17</v>
      </c>
      <c r="B21" s="13">
        <v>17</v>
      </c>
      <c r="C21" s="30" t="s">
        <v>90</v>
      </c>
      <c r="D21" s="23" t="s">
        <v>135</v>
      </c>
      <c r="E21" s="23" t="s">
        <v>136</v>
      </c>
      <c r="F21" s="23" t="s">
        <v>137</v>
      </c>
      <c r="G21" s="23" t="s">
        <v>138</v>
      </c>
      <c r="H21" s="13" t="s">
        <v>134</v>
      </c>
      <c r="I21" s="13" t="s">
        <v>119</v>
      </c>
      <c r="J21" s="13" t="s">
        <v>50</v>
      </c>
      <c r="K21" s="23"/>
      <c r="L21" s="18" t="s">
        <v>63</v>
      </c>
      <c r="M21" s="23" t="s">
        <v>64</v>
      </c>
    </row>
    <row r="22" spans="1:13" ht="43.5" x14ac:dyDescent="0.35">
      <c r="A22" s="14">
        <v>18</v>
      </c>
      <c r="B22" s="14">
        <v>18</v>
      </c>
      <c r="C22" s="30" t="s">
        <v>90</v>
      </c>
      <c r="D22" s="24" t="s">
        <v>139</v>
      </c>
      <c r="E22" s="24" t="s">
        <v>140</v>
      </c>
      <c r="F22" s="24" t="s">
        <v>141</v>
      </c>
      <c r="G22" s="24" t="s">
        <v>142</v>
      </c>
      <c r="H22" s="14" t="s">
        <v>143</v>
      </c>
      <c r="I22" s="14" t="s">
        <v>119</v>
      </c>
      <c r="J22" s="14" t="s">
        <v>50</v>
      </c>
      <c r="K22" s="24"/>
      <c r="L22" s="18" t="s">
        <v>63</v>
      </c>
      <c r="M22" s="24" t="s">
        <v>64</v>
      </c>
    </row>
    <row r="23" spans="1:13" ht="29" x14ac:dyDescent="0.35">
      <c r="A23" s="13">
        <v>19</v>
      </c>
      <c r="B23" s="13">
        <v>19</v>
      </c>
      <c r="C23" s="29" t="s">
        <v>43</v>
      </c>
      <c r="D23" s="23" t="s">
        <v>144</v>
      </c>
      <c r="E23" s="23" t="s">
        <v>145</v>
      </c>
      <c r="F23" s="23" t="s">
        <v>146</v>
      </c>
      <c r="G23" s="23" t="s">
        <v>147</v>
      </c>
      <c r="H23" s="13" t="s">
        <v>148</v>
      </c>
      <c r="I23" s="13" t="s">
        <v>149</v>
      </c>
      <c r="J23" s="13" t="s">
        <v>150</v>
      </c>
      <c r="K23" s="23"/>
      <c r="L23" s="18" t="s">
        <v>63</v>
      </c>
      <c r="M23" s="23" t="s">
        <v>151</v>
      </c>
    </row>
    <row r="24" spans="1:13" ht="29" x14ac:dyDescent="0.35">
      <c r="A24" s="14">
        <v>20</v>
      </c>
      <c r="B24" s="14">
        <v>20</v>
      </c>
      <c r="C24" s="29" t="s">
        <v>43</v>
      </c>
      <c r="D24" s="24" t="s">
        <v>152</v>
      </c>
      <c r="E24" s="24" t="s">
        <v>153</v>
      </c>
      <c r="F24" s="24" t="s">
        <v>146</v>
      </c>
      <c r="G24" s="24" t="s">
        <v>154</v>
      </c>
      <c r="H24" s="14" t="s">
        <v>155</v>
      </c>
      <c r="I24" s="14" t="s">
        <v>149</v>
      </c>
      <c r="J24" s="14" t="s">
        <v>150</v>
      </c>
      <c r="K24" s="24"/>
      <c r="L24" s="18" t="s">
        <v>63</v>
      </c>
      <c r="M24" s="24" t="s">
        <v>156</v>
      </c>
    </row>
    <row r="25" spans="1:13" ht="29" x14ac:dyDescent="0.35">
      <c r="A25" s="13">
        <v>21</v>
      </c>
      <c r="B25" s="13">
        <v>21</v>
      </c>
      <c r="C25" s="30" t="s">
        <v>90</v>
      </c>
      <c r="D25" s="23" t="s">
        <v>157</v>
      </c>
      <c r="E25" s="23" t="s">
        <v>158</v>
      </c>
      <c r="F25" s="23" t="s">
        <v>159</v>
      </c>
      <c r="G25" s="23" t="s">
        <v>160</v>
      </c>
      <c r="H25" s="13" t="s">
        <v>155</v>
      </c>
      <c r="I25" s="13" t="s">
        <v>149</v>
      </c>
      <c r="J25" s="13" t="s">
        <v>150</v>
      </c>
      <c r="K25" s="23"/>
      <c r="L25" s="18" t="s">
        <v>63</v>
      </c>
      <c r="M25" s="23" t="s">
        <v>161</v>
      </c>
    </row>
    <row r="26" spans="1:13" ht="43.5" x14ac:dyDescent="0.35">
      <c r="A26" s="14">
        <v>22</v>
      </c>
      <c r="B26" s="14">
        <v>22</v>
      </c>
      <c r="C26" s="30" t="s">
        <v>90</v>
      </c>
      <c r="D26" s="24" t="s">
        <v>162</v>
      </c>
      <c r="E26" s="24" t="s">
        <v>163</v>
      </c>
      <c r="F26" s="24" t="s">
        <v>164</v>
      </c>
      <c r="G26" s="24" t="s">
        <v>165</v>
      </c>
      <c r="H26" s="14" t="s">
        <v>155</v>
      </c>
      <c r="I26" s="14" t="s">
        <v>149</v>
      </c>
      <c r="J26" s="14" t="s">
        <v>150</v>
      </c>
      <c r="K26" s="24"/>
      <c r="L26" s="18" t="s">
        <v>63</v>
      </c>
      <c r="M26" s="24" t="s">
        <v>166</v>
      </c>
    </row>
    <row r="27" spans="1:13" ht="43.5" x14ac:dyDescent="0.35">
      <c r="A27" s="13">
        <v>23</v>
      </c>
      <c r="B27" s="13">
        <v>23</v>
      </c>
      <c r="C27" s="29" t="s">
        <v>43</v>
      </c>
      <c r="D27" s="23" t="s">
        <v>167</v>
      </c>
      <c r="E27" s="23" t="s">
        <v>168</v>
      </c>
      <c r="F27" s="23" t="s">
        <v>169</v>
      </c>
      <c r="G27" s="23" t="s">
        <v>170</v>
      </c>
      <c r="H27" s="13" t="s">
        <v>155</v>
      </c>
      <c r="I27" s="13" t="s">
        <v>171</v>
      </c>
      <c r="J27" s="13" t="s">
        <v>150</v>
      </c>
      <c r="K27" s="19" t="s">
        <v>82</v>
      </c>
      <c r="L27" s="17" t="s">
        <v>51</v>
      </c>
      <c r="M27" s="23" t="s">
        <v>172</v>
      </c>
    </row>
    <row r="28" spans="1:13" ht="29" x14ac:dyDescent="0.35">
      <c r="A28" s="14">
        <v>24</v>
      </c>
      <c r="B28" s="14">
        <v>24</v>
      </c>
      <c r="C28" s="30" t="s">
        <v>90</v>
      </c>
      <c r="D28" s="24" t="s">
        <v>173</v>
      </c>
      <c r="E28" s="24" t="s">
        <v>174</v>
      </c>
      <c r="F28" s="24" t="s">
        <v>175</v>
      </c>
      <c r="G28" s="24" t="s">
        <v>176</v>
      </c>
      <c r="H28" s="14" t="s">
        <v>155</v>
      </c>
      <c r="I28" s="14" t="s">
        <v>171</v>
      </c>
      <c r="J28" s="14" t="s">
        <v>150</v>
      </c>
      <c r="K28" s="21" t="s">
        <v>82</v>
      </c>
      <c r="L28" s="17" t="s">
        <v>51</v>
      </c>
      <c r="M28" s="24" t="s">
        <v>177</v>
      </c>
    </row>
    <row r="29" spans="1:13" ht="29" x14ac:dyDescent="0.35">
      <c r="A29" s="13">
        <v>25</v>
      </c>
      <c r="B29" s="13">
        <v>25</v>
      </c>
      <c r="C29" s="30" t="s">
        <v>90</v>
      </c>
      <c r="D29" s="23" t="s">
        <v>178</v>
      </c>
      <c r="E29" s="23" t="s">
        <v>179</v>
      </c>
      <c r="F29" s="23" t="s">
        <v>180</v>
      </c>
      <c r="G29" s="23" t="s">
        <v>181</v>
      </c>
      <c r="H29" s="13" t="s">
        <v>155</v>
      </c>
      <c r="I29" s="13" t="s">
        <v>171</v>
      </c>
      <c r="J29" s="13" t="s">
        <v>150</v>
      </c>
      <c r="K29" s="19" t="s">
        <v>82</v>
      </c>
      <c r="L29" s="17" t="s">
        <v>51</v>
      </c>
      <c r="M29" s="23" t="s">
        <v>182</v>
      </c>
    </row>
    <row r="30" spans="1:13" ht="29" x14ac:dyDescent="0.35">
      <c r="A30" s="14">
        <v>26</v>
      </c>
      <c r="B30" s="14">
        <v>26</v>
      </c>
      <c r="C30" s="12" t="s">
        <v>183</v>
      </c>
      <c r="D30" s="24" t="s">
        <v>184</v>
      </c>
      <c r="E30" s="24" t="s">
        <v>185</v>
      </c>
      <c r="F30" s="24" t="s">
        <v>186</v>
      </c>
      <c r="G30" s="24" t="s">
        <v>187</v>
      </c>
      <c r="H30" s="14" t="s">
        <v>155</v>
      </c>
      <c r="I30" s="14" t="s">
        <v>171</v>
      </c>
      <c r="J30" s="14" t="s">
        <v>150</v>
      </c>
      <c r="K30" s="21" t="s">
        <v>82</v>
      </c>
      <c r="L30" s="17" t="s">
        <v>51</v>
      </c>
      <c r="M30" s="24" t="s">
        <v>188</v>
      </c>
    </row>
    <row r="31" spans="1:13" ht="29" x14ac:dyDescent="0.35">
      <c r="A31" s="13">
        <v>27</v>
      </c>
      <c r="B31" s="13">
        <v>27</v>
      </c>
      <c r="C31" s="30" t="s">
        <v>90</v>
      </c>
      <c r="D31" s="23" t="s">
        <v>189</v>
      </c>
      <c r="E31" s="23" t="s">
        <v>190</v>
      </c>
      <c r="F31" s="23" t="s">
        <v>191</v>
      </c>
      <c r="G31" s="23" t="s">
        <v>192</v>
      </c>
      <c r="H31" s="13" t="s">
        <v>148</v>
      </c>
      <c r="I31" s="13" t="s">
        <v>171</v>
      </c>
      <c r="J31" s="13" t="s">
        <v>150</v>
      </c>
      <c r="K31" s="19" t="s">
        <v>82</v>
      </c>
      <c r="L31" s="17" t="s">
        <v>51</v>
      </c>
      <c r="M31" s="23" t="s">
        <v>193</v>
      </c>
    </row>
    <row r="32" spans="1:13" ht="29" x14ac:dyDescent="0.35">
      <c r="A32" s="14">
        <v>28</v>
      </c>
      <c r="B32" s="14">
        <v>28</v>
      </c>
      <c r="C32" s="30" t="s">
        <v>90</v>
      </c>
      <c r="D32" s="24" t="s">
        <v>194</v>
      </c>
      <c r="E32" s="24" t="s">
        <v>195</v>
      </c>
      <c r="F32" s="24" t="s">
        <v>196</v>
      </c>
      <c r="G32" s="24" t="s">
        <v>197</v>
      </c>
      <c r="H32" s="14" t="s">
        <v>155</v>
      </c>
      <c r="I32" s="14" t="s">
        <v>171</v>
      </c>
      <c r="J32" s="14" t="s">
        <v>150</v>
      </c>
      <c r="K32" s="21" t="s">
        <v>82</v>
      </c>
      <c r="L32" s="17" t="s">
        <v>51</v>
      </c>
      <c r="M32" s="24" t="s">
        <v>198</v>
      </c>
    </row>
    <row r="33" spans="1:13" ht="29" x14ac:dyDescent="0.35">
      <c r="A33" s="13">
        <v>29</v>
      </c>
      <c r="B33" s="13">
        <v>29</v>
      </c>
      <c r="C33" s="29" t="s">
        <v>43</v>
      </c>
      <c r="D33" s="23" t="s">
        <v>199</v>
      </c>
      <c r="E33" s="23" t="s">
        <v>200</v>
      </c>
      <c r="F33" s="23" t="s">
        <v>201</v>
      </c>
      <c r="G33" s="23" t="s">
        <v>202</v>
      </c>
      <c r="H33" s="13" t="s">
        <v>155</v>
      </c>
      <c r="I33" s="13" t="s">
        <v>203</v>
      </c>
      <c r="J33" s="13" t="s">
        <v>150</v>
      </c>
      <c r="K33" s="19" t="s">
        <v>82</v>
      </c>
      <c r="L33" s="17" t="s">
        <v>51</v>
      </c>
      <c r="M33" s="23" t="s">
        <v>204</v>
      </c>
    </row>
    <row r="34" spans="1:13" ht="29" x14ac:dyDescent="0.35">
      <c r="A34" s="14">
        <v>30</v>
      </c>
      <c r="B34" s="14">
        <v>30</v>
      </c>
      <c r="C34" s="30" t="s">
        <v>90</v>
      </c>
      <c r="D34" s="24" t="s">
        <v>205</v>
      </c>
      <c r="E34" s="24" t="s">
        <v>206</v>
      </c>
      <c r="F34" s="24" t="s">
        <v>207</v>
      </c>
      <c r="G34" s="24" t="s">
        <v>208</v>
      </c>
      <c r="H34" s="14" t="s">
        <v>209</v>
      </c>
      <c r="I34" s="14" t="s">
        <v>203</v>
      </c>
      <c r="J34" s="14" t="s">
        <v>150</v>
      </c>
      <c r="K34" s="21" t="s">
        <v>82</v>
      </c>
      <c r="L34" s="17" t="s">
        <v>51</v>
      </c>
      <c r="M34" s="24" t="s">
        <v>210</v>
      </c>
    </row>
    <row r="35" spans="1:13" ht="29" x14ac:dyDescent="0.35">
      <c r="A35" s="13">
        <v>31</v>
      </c>
      <c r="B35" s="13">
        <v>31</v>
      </c>
      <c r="C35" s="30" t="s">
        <v>90</v>
      </c>
      <c r="D35" s="23" t="s">
        <v>211</v>
      </c>
      <c r="E35" s="23" t="s">
        <v>212</v>
      </c>
      <c r="F35" s="23" t="s">
        <v>213</v>
      </c>
      <c r="G35" s="23" t="s">
        <v>214</v>
      </c>
      <c r="H35" s="13" t="s">
        <v>215</v>
      </c>
      <c r="I35" s="13" t="s">
        <v>203</v>
      </c>
      <c r="J35" s="13" t="s">
        <v>150</v>
      </c>
      <c r="K35" s="19" t="s">
        <v>82</v>
      </c>
      <c r="L35" s="17" t="s">
        <v>51</v>
      </c>
      <c r="M35" s="23" t="s">
        <v>216</v>
      </c>
    </row>
    <row r="36" spans="1:13" ht="29" x14ac:dyDescent="0.35">
      <c r="A36" s="14">
        <v>32</v>
      </c>
      <c r="B36" s="14">
        <v>32</v>
      </c>
      <c r="C36" s="29" t="s">
        <v>43</v>
      </c>
      <c r="D36" s="24" t="s">
        <v>217</v>
      </c>
      <c r="E36" s="24" t="s">
        <v>218</v>
      </c>
      <c r="F36" s="24" t="s">
        <v>219</v>
      </c>
      <c r="G36" s="24" t="s">
        <v>220</v>
      </c>
      <c r="H36" s="14" t="s">
        <v>209</v>
      </c>
      <c r="I36" s="14" t="s">
        <v>203</v>
      </c>
      <c r="J36" s="14" t="s">
        <v>150</v>
      </c>
      <c r="K36" s="21" t="s">
        <v>82</v>
      </c>
      <c r="L36" s="17" t="s">
        <v>51</v>
      </c>
      <c r="M36" s="24" t="s">
        <v>221</v>
      </c>
    </row>
    <row r="37" spans="1:13" ht="29" x14ac:dyDescent="0.35">
      <c r="A37" s="13">
        <v>33</v>
      </c>
      <c r="B37" s="13">
        <v>33</v>
      </c>
      <c r="C37" s="30" t="s">
        <v>90</v>
      </c>
      <c r="D37" s="23" t="s">
        <v>222</v>
      </c>
      <c r="E37" s="23" t="s">
        <v>223</v>
      </c>
      <c r="F37" s="23" t="s">
        <v>224</v>
      </c>
      <c r="G37" s="23" t="s">
        <v>225</v>
      </c>
      <c r="H37" s="13" t="s">
        <v>226</v>
      </c>
      <c r="I37" s="13" t="s">
        <v>203</v>
      </c>
      <c r="J37" s="13" t="s">
        <v>150</v>
      </c>
      <c r="K37" s="19" t="s">
        <v>82</v>
      </c>
      <c r="L37" s="17" t="s">
        <v>51</v>
      </c>
      <c r="M37" s="23" t="s">
        <v>227</v>
      </c>
    </row>
    <row r="38" spans="1:13" ht="29" x14ac:dyDescent="0.35">
      <c r="A38" s="14">
        <v>34</v>
      </c>
      <c r="B38" s="14">
        <v>34</v>
      </c>
      <c r="C38" s="30" t="s">
        <v>90</v>
      </c>
      <c r="D38" s="24" t="s">
        <v>228</v>
      </c>
      <c r="E38" s="24" t="s">
        <v>229</v>
      </c>
      <c r="F38" s="24" t="s">
        <v>230</v>
      </c>
      <c r="G38" s="24" t="s">
        <v>231</v>
      </c>
      <c r="H38" s="14" t="s">
        <v>209</v>
      </c>
      <c r="I38" s="14" t="s">
        <v>203</v>
      </c>
      <c r="J38" s="14" t="s">
        <v>150</v>
      </c>
      <c r="K38" s="21" t="s">
        <v>82</v>
      </c>
      <c r="L38" s="17" t="s">
        <v>51</v>
      </c>
      <c r="M38" s="24" t="s">
        <v>232</v>
      </c>
    </row>
    <row r="39" spans="1:13" ht="29" x14ac:dyDescent="0.35">
      <c r="A39" s="13">
        <v>35</v>
      </c>
      <c r="B39" s="13">
        <v>35</v>
      </c>
      <c r="C39" s="12" t="s">
        <v>183</v>
      </c>
      <c r="D39" s="23" t="s">
        <v>233</v>
      </c>
      <c r="E39" s="23" t="s">
        <v>234</v>
      </c>
      <c r="F39" s="23" t="s">
        <v>235</v>
      </c>
      <c r="G39" s="23" t="s">
        <v>236</v>
      </c>
      <c r="H39" s="13" t="s">
        <v>209</v>
      </c>
      <c r="I39" s="13" t="s">
        <v>203</v>
      </c>
      <c r="J39" s="13" t="s">
        <v>150</v>
      </c>
      <c r="K39" s="19" t="s">
        <v>82</v>
      </c>
      <c r="L39" s="17" t="s">
        <v>51</v>
      </c>
      <c r="M39" s="23" t="s">
        <v>237</v>
      </c>
    </row>
    <row r="40" spans="1:13" ht="29" x14ac:dyDescent="0.35">
      <c r="A40" s="14">
        <v>36</v>
      </c>
      <c r="B40" s="14">
        <v>36</v>
      </c>
      <c r="C40" s="12" t="s">
        <v>183</v>
      </c>
      <c r="D40" s="24" t="s">
        <v>238</v>
      </c>
      <c r="E40" s="24" t="s">
        <v>239</v>
      </c>
      <c r="F40" s="24" t="s">
        <v>240</v>
      </c>
      <c r="G40" s="24" t="s">
        <v>241</v>
      </c>
      <c r="H40" s="14" t="s">
        <v>209</v>
      </c>
      <c r="I40" s="14" t="s">
        <v>203</v>
      </c>
      <c r="J40" s="14" t="s">
        <v>150</v>
      </c>
      <c r="K40" s="21" t="s">
        <v>82</v>
      </c>
      <c r="L40" s="17" t="s">
        <v>51</v>
      </c>
      <c r="M40" s="24" t="s">
        <v>242</v>
      </c>
    </row>
    <row r="41" spans="1:13" ht="43.5" x14ac:dyDescent="0.35">
      <c r="A41" s="13">
        <v>37</v>
      </c>
      <c r="B41" s="13">
        <v>37</v>
      </c>
      <c r="C41" s="30" t="s">
        <v>90</v>
      </c>
      <c r="D41" s="23" t="s">
        <v>243</v>
      </c>
      <c r="E41" s="23" t="s">
        <v>244</v>
      </c>
      <c r="F41" s="23" t="s">
        <v>245</v>
      </c>
      <c r="G41" s="23" t="s">
        <v>246</v>
      </c>
      <c r="H41" s="13" t="s">
        <v>247</v>
      </c>
      <c r="I41" s="13" t="s">
        <v>203</v>
      </c>
      <c r="J41" s="13" t="s">
        <v>150</v>
      </c>
      <c r="K41" s="19" t="s">
        <v>82</v>
      </c>
      <c r="L41" s="17" t="s">
        <v>51</v>
      </c>
      <c r="M41" s="23" t="s">
        <v>248</v>
      </c>
    </row>
    <row r="42" spans="1:13" ht="87" x14ac:dyDescent="0.35">
      <c r="A42" s="14">
        <v>38</v>
      </c>
      <c r="B42" s="14">
        <v>38</v>
      </c>
      <c r="C42" s="29" t="s">
        <v>43</v>
      </c>
      <c r="D42" s="24" t="s">
        <v>249</v>
      </c>
      <c r="E42" s="24" t="s">
        <v>250</v>
      </c>
      <c r="F42" s="24" t="s">
        <v>251</v>
      </c>
      <c r="G42" s="24" t="s">
        <v>252</v>
      </c>
      <c r="H42" s="14" t="s">
        <v>48</v>
      </c>
      <c r="I42" s="14" t="s">
        <v>253</v>
      </c>
      <c r="J42" s="14" t="s">
        <v>254</v>
      </c>
      <c r="K42" s="21" t="s">
        <v>82</v>
      </c>
      <c r="L42" s="17" t="s">
        <v>51</v>
      </c>
      <c r="M42" s="24" t="s">
        <v>255</v>
      </c>
    </row>
    <row r="43" spans="1:13" ht="29" x14ac:dyDescent="0.35">
      <c r="A43" s="13">
        <v>39</v>
      </c>
      <c r="B43" s="13">
        <v>39</v>
      </c>
      <c r="C43" s="30" t="s">
        <v>90</v>
      </c>
      <c r="D43" s="23" t="s">
        <v>256</v>
      </c>
      <c r="E43" s="23" t="s">
        <v>257</v>
      </c>
      <c r="F43" s="23" t="s">
        <v>258</v>
      </c>
      <c r="G43" s="23" t="s">
        <v>259</v>
      </c>
      <c r="H43" s="13" t="s">
        <v>260</v>
      </c>
      <c r="I43" s="13" t="s">
        <v>253</v>
      </c>
      <c r="J43" s="13" t="s">
        <v>254</v>
      </c>
      <c r="K43" s="19" t="s">
        <v>82</v>
      </c>
      <c r="L43" s="17" t="s">
        <v>51</v>
      </c>
      <c r="M43" s="23" t="s">
        <v>261</v>
      </c>
    </row>
    <row r="44" spans="1:13" ht="43.5" x14ac:dyDescent="0.35">
      <c r="A44" s="14">
        <v>40</v>
      </c>
      <c r="B44" s="14">
        <v>40</v>
      </c>
      <c r="C44" s="30" t="s">
        <v>90</v>
      </c>
      <c r="D44" s="24" t="s">
        <v>262</v>
      </c>
      <c r="E44" s="24" t="s">
        <v>263</v>
      </c>
      <c r="F44" s="24" t="s">
        <v>264</v>
      </c>
      <c r="G44" s="24" t="s">
        <v>265</v>
      </c>
      <c r="H44" s="14" t="s">
        <v>260</v>
      </c>
      <c r="I44" s="14" t="s">
        <v>253</v>
      </c>
      <c r="J44" s="14" t="s">
        <v>254</v>
      </c>
      <c r="K44" s="21" t="s">
        <v>82</v>
      </c>
      <c r="L44" s="17" t="s">
        <v>51</v>
      </c>
      <c r="M44" s="24" t="s">
        <v>266</v>
      </c>
    </row>
    <row r="45" spans="1:13" ht="29" x14ac:dyDescent="0.35">
      <c r="A45" s="13">
        <v>41</v>
      </c>
      <c r="B45" s="13">
        <v>41</v>
      </c>
      <c r="C45" s="30" t="s">
        <v>90</v>
      </c>
      <c r="D45" s="23" t="s">
        <v>267</v>
      </c>
      <c r="E45" s="23" t="s">
        <v>268</v>
      </c>
      <c r="F45" s="23" t="s">
        <v>269</v>
      </c>
      <c r="G45" s="23" t="s">
        <v>270</v>
      </c>
      <c r="H45" s="13" t="s">
        <v>260</v>
      </c>
      <c r="I45" s="13" t="s">
        <v>271</v>
      </c>
      <c r="J45" s="13" t="s">
        <v>254</v>
      </c>
      <c r="K45" s="19" t="s">
        <v>82</v>
      </c>
      <c r="L45" s="17" t="s">
        <v>51</v>
      </c>
      <c r="M45" s="23" t="s">
        <v>272</v>
      </c>
    </row>
    <row r="46" spans="1:13" ht="43.5" x14ac:dyDescent="0.35">
      <c r="A46" s="14">
        <v>42</v>
      </c>
      <c r="B46" s="14">
        <v>42</v>
      </c>
      <c r="C46" s="30" t="s">
        <v>90</v>
      </c>
      <c r="D46" s="24" t="s">
        <v>273</v>
      </c>
      <c r="E46" s="24" t="s">
        <v>274</v>
      </c>
      <c r="F46" s="24" t="s">
        <v>275</v>
      </c>
      <c r="G46" s="24" t="s">
        <v>276</v>
      </c>
      <c r="H46" s="14" t="s">
        <v>277</v>
      </c>
      <c r="I46" s="14" t="s">
        <v>271</v>
      </c>
      <c r="J46" s="14" t="s">
        <v>254</v>
      </c>
      <c r="K46" s="21" t="s">
        <v>82</v>
      </c>
      <c r="L46" s="17" t="s">
        <v>51</v>
      </c>
      <c r="M46" s="24" t="s">
        <v>278</v>
      </c>
    </row>
    <row r="47" spans="1:13" ht="29" x14ac:dyDescent="0.35">
      <c r="A47" s="13">
        <v>43</v>
      </c>
      <c r="B47" s="13">
        <v>43</v>
      </c>
      <c r="C47" s="30" t="s">
        <v>90</v>
      </c>
      <c r="D47" s="23" t="s">
        <v>279</v>
      </c>
      <c r="E47" s="23" t="s">
        <v>280</v>
      </c>
      <c r="F47" s="23" t="s">
        <v>281</v>
      </c>
      <c r="G47" s="23" t="s">
        <v>282</v>
      </c>
      <c r="H47" s="13" t="s">
        <v>277</v>
      </c>
      <c r="I47" s="13" t="s">
        <v>271</v>
      </c>
      <c r="J47" s="13" t="s">
        <v>254</v>
      </c>
      <c r="K47" s="19" t="s">
        <v>82</v>
      </c>
      <c r="L47" s="17" t="s">
        <v>51</v>
      </c>
      <c r="M47" s="23" t="s">
        <v>283</v>
      </c>
    </row>
    <row r="48" spans="1:13" ht="43.5" x14ac:dyDescent="0.35">
      <c r="A48" s="14">
        <v>44</v>
      </c>
      <c r="B48" s="14">
        <v>44</v>
      </c>
      <c r="C48" s="30" t="s">
        <v>90</v>
      </c>
      <c r="D48" s="24" t="s">
        <v>284</v>
      </c>
      <c r="E48" s="24" t="s">
        <v>285</v>
      </c>
      <c r="F48" s="24" t="s">
        <v>286</v>
      </c>
      <c r="G48" s="24" t="s">
        <v>287</v>
      </c>
      <c r="H48" s="14" t="s">
        <v>288</v>
      </c>
      <c r="I48" s="14" t="s">
        <v>271</v>
      </c>
      <c r="J48" s="14" t="s">
        <v>254</v>
      </c>
      <c r="K48" s="21" t="s">
        <v>82</v>
      </c>
      <c r="L48" s="17" t="s">
        <v>51</v>
      </c>
      <c r="M48" s="24" t="s">
        <v>289</v>
      </c>
    </row>
    <row r="49" spans="1:13" ht="29" x14ac:dyDescent="0.35">
      <c r="A49" s="13">
        <v>45</v>
      </c>
      <c r="B49" s="13">
        <v>45</v>
      </c>
      <c r="C49" s="30" t="s">
        <v>90</v>
      </c>
      <c r="D49" s="23" t="s">
        <v>290</v>
      </c>
      <c r="E49" s="23" t="s">
        <v>291</v>
      </c>
      <c r="F49" s="23" t="s">
        <v>292</v>
      </c>
      <c r="G49" s="23" t="s">
        <v>293</v>
      </c>
      <c r="H49" s="13" t="s">
        <v>277</v>
      </c>
      <c r="I49" s="13" t="s">
        <v>271</v>
      </c>
      <c r="J49" s="13" t="s">
        <v>254</v>
      </c>
      <c r="K49" s="19" t="s">
        <v>82</v>
      </c>
      <c r="L49" s="17" t="s">
        <v>51</v>
      </c>
      <c r="M49" s="23" t="s">
        <v>294</v>
      </c>
    </row>
    <row r="50" spans="1:13" ht="29" x14ac:dyDescent="0.35">
      <c r="A50" s="14">
        <v>46</v>
      </c>
      <c r="B50" s="14">
        <v>46</v>
      </c>
      <c r="C50" s="30" t="s">
        <v>90</v>
      </c>
      <c r="D50" s="24" t="s">
        <v>295</v>
      </c>
      <c r="E50" s="24" t="s">
        <v>296</v>
      </c>
      <c r="F50" s="24" t="s">
        <v>297</v>
      </c>
      <c r="G50" s="24" t="s">
        <v>298</v>
      </c>
      <c r="H50" s="14" t="s">
        <v>260</v>
      </c>
      <c r="I50" s="14" t="s">
        <v>299</v>
      </c>
      <c r="J50" s="14" t="s">
        <v>254</v>
      </c>
      <c r="K50" s="21" t="s">
        <v>82</v>
      </c>
      <c r="L50" s="17" t="s">
        <v>51</v>
      </c>
      <c r="M50" s="24" t="s">
        <v>300</v>
      </c>
    </row>
    <row r="51" spans="1:13" ht="43.5" x14ac:dyDescent="0.35">
      <c r="A51" s="13">
        <v>47</v>
      </c>
      <c r="B51" s="13">
        <v>47</v>
      </c>
      <c r="C51" s="30" t="s">
        <v>90</v>
      </c>
      <c r="D51" s="23" t="s">
        <v>301</v>
      </c>
      <c r="E51" s="23" t="s">
        <v>302</v>
      </c>
      <c r="F51" s="23" t="s">
        <v>303</v>
      </c>
      <c r="G51" s="23" t="s">
        <v>304</v>
      </c>
      <c r="H51" s="13" t="s">
        <v>305</v>
      </c>
      <c r="I51" s="13" t="s">
        <v>299</v>
      </c>
      <c r="J51" s="13" t="s">
        <v>254</v>
      </c>
      <c r="K51" s="19" t="s">
        <v>82</v>
      </c>
      <c r="L51" s="17" t="s">
        <v>51</v>
      </c>
      <c r="M51" s="23" t="s">
        <v>306</v>
      </c>
    </row>
    <row r="52" spans="1:13" ht="43.5" x14ac:dyDescent="0.35">
      <c r="A52" s="14">
        <v>48</v>
      </c>
      <c r="B52" s="14">
        <v>48</v>
      </c>
      <c r="C52" s="30" t="s">
        <v>90</v>
      </c>
      <c r="D52" s="24" t="s">
        <v>307</v>
      </c>
      <c r="E52" s="24" t="s">
        <v>308</v>
      </c>
      <c r="F52" s="24" t="s">
        <v>309</v>
      </c>
      <c r="G52" s="24" t="s">
        <v>310</v>
      </c>
      <c r="H52" s="14" t="s">
        <v>311</v>
      </c>
      <c r="I52" s="14" t="s">
        <v>299</v>
      </c>
      <c r="J52" s="14" t="s">
        <v>254</v>
      </c>
      <c r="K52" s="21" t="s">
        <v>82</v>
      </c>
      <c r="L52" s="17" t="s">
        <v>51</v>
      </c>
      <c r="M52" s="24" t="s">
        <v>312</v>
      </c>
    </row>
    <row r="53" spans="1:13" ht="43.5" x14ac:dyDescent="0.35">
      <c r="A53" s="13">
        <v>49</v>
      </c>
      <c r="B53" s="13">
        <v>49</v>
      </c>
      <c r="C53" s="30" t="s">
        <v>90</v>
      </c>
      <c r="D53" s="23" t="s">
        <v>313</v>
      </c>
      <c r="E53" s="23" t="s">
        <v>314</v>
      </c>
      <c r="F53" s="23" t="s">
        <v>315</v>
      </c>
      <c r="G53" s="23" t="s">
        <v>316</v>
      </c>
      <c r="H53" s="13" t="s">
        <v>317</v>
      </c>
      <c r="I53" s="13" t="s">
        <v>299</v>
      </c>
      <c r="J53" s="13" t="s">
        <v>254</v>
      </c>
      <c r="K53" s="19" t="s">
        <v>82</v>
      </c>
      <c r="L53" s="17" t="s">
        <v>51</v>
      </c>
      <c r="M53" s="23" t="s">
        <v>318</v>
      </c>
    </row>
    <row r="54" spans="1:13" ht="29" x14ac:dyDescent="0.35">
      <c r="A54" s="14">
        <v>50</v>
      </c>
      <c r="B54" s="14">
        <v>50</v>
      </c>
      <c r="C54" s="30" t="s">
        <v>90</v>
      </c>
      <c r="D54" s="24" t="s">
        <v>319</v>
      </c>
      <c r="E54" s="24" t="s">
        <v>320</v>
      </c>
      <c r="F54" s="24" t="s">
        <v>321</v>
      </c>
      <c r="G54" s="24" t="s">
        <v>322</v>
      </c>
      <c r="H54" s="14" t="s">
        <v>260</v>
      </c>
      <c r="I54" s="14" t="s">
        <v>299</v>
      </c>
      <c r="J54" s="14" t="s">
        <v>254</v>
      </c>
      <c r="K54" s="21" t="s">
        <v>82</v>
      </c>
      <c r="L54" s="17" t="s">
        <v>51</v>
      </c>
      <c r="M54" s="24" t="s">
        <v>323</v>
      </c>
    </row>
    <row r="55" spans="1:13" ht="43.5" x14ac:dyDescent="0.35">
      <c r="A55" s="13">
        <v>51</v>
      </c>
      <c r="B55" s="13">
        <v>51</v>
      </c>
      <c r="C55" s="30" t="s">
        <v>90</v>
      </c>
      <c r="D55" s="23" t="s">
        <v>324</v>
      </c>
      <c r="E55" s="23" t="s">
        <v>325</v>
      </c>
      <c r="F55" s="23" t="s">
        <v>326</v>
      </c>
      <c r="G55" s="23" t="s">
        <v>327</v>
      </c>
      <c r="H55" s="13" t="s">
        <v>328</v>
      </c>
      <c r="I55" s="13" t="s">
        <v>299</v>
      </c>
      <c r="J55" s="13" t="s">
        <v>254</v>
      </c>
      <c r="K55" s="19" t="s">
        <v>82</v>
      </c>
      <c r="L55" s="17" t="s">
        <v>51</v>
      </c>
      <c r="M55" s="23" t="s">
        <v>329</v>
      </c>
    </row>
    <row r="56" spans="1:13" ht="43.5" x14ac:dyDescent="0.35">
      <c r="A56" s="14">
        <v>52</v>
      </c>
      <c r="B56" s="14">
        <v>52</v>
      </c>
      <c r="C56" s="30" t="s">
        <v>90</v>
      </c>
      <c r="D56" s="24" t="s">
        <v>330</v>
      </c>
      <c r="E56" s="24" t="s">
        <v>331</v>
      </c>
      <c r="F56" s="24" t="s">
        <v>332</v>
      </c>
      <c r="G56" s="24" t="s">
        <v>333</v>
      </c>
      <c r="H56" s="14" t="s">
        <v>328</v>
      </c>
      <c r="I56" s="14" t="s">
        <v>299</v>
      </c>
      <c r="J56" s="14" t="s">
        <v>254</v>
      </c>
      <c r="K56" s="21" t="s">
        <v>82</v>
      </c>
      <c r="L56" s="17" t="s">
        <v>51</v>
      </c>
      <c r="M56" s="24" t="s">
        <v>334</v>
      </c>
    </row>
    <row r="57" spans="1:13" ht="29" x14ac:dyDescent="0.35">
      <c r="A57" s="13">
        <v>53</v>
      </c>
      <c r="B57" s="13">
        <v>53</v>
      </c>
      <c r="C57" s="30" t="s">
        <v>90</v>
      </c>
      <c r="D57" s="23" t="s">
        <v>335</v>
      </c>
      <c r="E57" s="23" t="s">
        <v>336</v>
      </c>
      <c r="F57" s="23" t="s">
        <v>337</v>
      </c>
      <c r="G57" s="23" t="s">
        <v>338</v>
      </c>
      <c r="H57" s="13" t="s">
        <v>260</v>
      </c>
      <c r="I57" s="13" t="s">
        <v>339</v>
      </c>
      <c r="J57" s="13" t="s">
        <v>254</v>
      </c>
      <c r="K57" s="19" t="s">
        <v>82</v>
      </c>
      <c r="L57" s="17" t="s">
        <v>51</v>
      </c>
      <c r="M57" s="23" t="s">
        <v>340</v>
      </c>
    </row>
    <row r="58" spans="1:13" ht="29" x14ac:dyDescent="0.35">
      <c r="A58" s="14">
        <v>54</v>
      </c>
      <c r="B58" s="14">
        <v>54</v>
      </c>
      <c r="C58" s="30" t="s">
        <v>90</v>
      </c>
      <c r="D58" s="24" t="s">
        <v>341</v>
      </c>
      <c r="E58" s="24" t="s">
        <v>342</v>
      </c>
      <c r="F58" s="24" t="s">
        <v>343</v>
      </c>
      <c r="G58" s="24" t="s">
        <v>344</v>
      </c>
      <c r="H58" s="14" t="s">
        <v>345</v>
      </c>
      <c r="I58" s="14" t="s">
        <v>339</v>
      </c>
      <c r="J58" s="14" t="s">
        <v>254</v>
      </c>
      <c r="K58" s="21" t="s">
        <v>82</v>
      </c>
      <c r="L58" s="17" t="s">
        <v>51</v>
      </c>
      <c r="M58" s="24" t="s">
        <v>346</v>
      </c>
    </row>
    <row r="59" spans="1:13" ht="43.5" x14ac:dyDescent="0.35">
      <c r="A59" s="13">
        <v>55</v>
      </c>
      <c r="B59" s="13">
        <v>55</v>
      </c>
      <c r="C59" s="12" t="s">
        <v>183</v>
      </c>
      <c r="D59" s="23" t="s">
        <v>347</v>
      </c>
      <c r="E59" s="23" t="s">
        <v>348</v>
      </c>
      <c r="F59" s="23" t="s">
        <v>349</v>
      </c>
      <c r="G59" s="23" t="s">
        <v>350</v>
      </c>
      <c r="H59" s="13" t="s">
        <v>345</v>
      </c>
      <c r="I59" s="13" t="s">
        <v>339</v>
      </c>
      <c r="J59" s="13" t="s">
        <v>254</v>
      </c>
      <c r="K59" s="19" t="s">
        <v>82</v>
      </c>
      <c r="L59" s="17" t="s">
        <v>51</v>
      </c>
      <c r="M59" s="23" t="s">
        <v>351</v>
      </c>
    </row>
    <row r="60" spans="1:13" ht="29" x14ac:dyDescent="0.35">
      <c r="A60" s="14">
        <v>56</v>
      </c>
      <c r="B60" s="14">
        <v>56</v>
      </c>
      <c r="C60" s="30" t="s">
        <v>90</v>
      </c>
      <c r="D60" s="24" t="s">
        <v>352</v>
      </c>
      <c r="E60" s="24" t="s">
        <v>353</v>
      </c>
      <c r="F60" s="24" t="s">
        <v>354</v>
      </c>
      <c r="G60" s="24" t="s">
        <v>355</v>
      </c>
      <c r="H60" s="14" t="s">
        <v>260</v>
      </c>
      <c r="I60" s="14" t="s">
        <v>339</v>
      </c>
      <c r="J60" s="14" t="s">
        <v>254</v>
      </c>
      <c r="K60" s="21" t="s">
        <v>82</v>
      </c>
      <c r="L60" s="17" t="s">
        <v>51</v>
      </c>
      <c r="M60" s="24" t="s">
        <v>356</v>
      </c>
    </row>
    <row r="61" spans="1:13" ht="43.5" x14ac:dyDescent="0.35">
      <c r="A61" s="13">
        <v>57</v>
      </c>
      <c r="B61" s="13">
        <v>57</v>
      </c>
      <c r="C61" s="30" t="s">
        <v>90</v>
      </c>
      <c r="D61" s="23" t="s">
        <v>357</v>
      </c>
      <c r="E61" s="23" t="s">
        <v>358</v>
      </c>
      <c r="F61" s="23" t="s">
        <v>359</v>
      </c>
      <c r="G61" s="23" t="s">
        <v>360</v>
      </c>
      <c r="H61" s="13" t="s">
        <v>361</v>
      </c>
      <c r="I61" s="13" t="s">
        <v>339</v>
      </c>
      <c r="J61" s="13" t="s">
        <v>254</v>
      </c>
      <c r="K61" s="19" t="s">
        <v>82</v>
      </c>
      <c r="L61" s="17" t="s">
        <v>51</v>
      </c>
      <c r="M61" s="23" t="s">
        <v>362</v>
      </c>
    </row>
    <row r="62" spans="1:13" ht="29" x14ac:dyDescent="0.35">
      <c r="A62" s="14">
        <v>58</v>
      </c>
      <c r="B62" s="14">
        <v>58</v>
      </c>
      <c r="C62" s="30" t="s">
        <v>90</v>
      </c>
      <c r="D62" s="24" t="s">
        <v>363</v>
      </c>
      <c r="E62" s="24" t="s">
        <v>364</v>
      </c>
      <c r="F62" s="24" t="s">
        <v>365</v>
      </c>
      <c r="G62" s="24" t="s">
        <v>366</v>
      </c>
      <c r="H62" s="14" t="s">
        <v>48</v>
      </c>
      <c r="I62" s="14" t="s">
        <v>367</v>
      </c>
      <c r="J62" s="14" t="s">
        <v>368</v>
      </c>
      <c r="K62" s="21" t="s">
        <v>82</v>
      </c>
      <c r="L62" s="17" t="s">
        <v>51</v>
      </c>
      <c r="M62" s="24" t="s">
        <v>369</v>
      </c>
    </row>
    <row r="63" spans="1:13" ht="43.5" x14ac:dyDescent="0.35">
      <c r="A63" s="13">
        <v>59</v>
      </c>
      <c r="B63" s="13">
        <v>59</v>
      </c>
      <c r="C63" s="30" t="s">
        <v>90</v>
      </c>
      <c r="D63" s="23" t="s">
        <v>370</v>
      </c>
      <c r="E63" s="23" t="s">
        <v>371</v>
      </c>
      <c r="F63" s="23" t="s">
        <v>372</v>
      </c>
      <c r="G63" s="23" t="s">
        <v>373</v>
      </c>
      <c r="H63" s="13" t="s">
        <v>374</v>
      </c>
      <c r="I63" s="13" t="s">
        <v>367</v>
      </c>
      <c r="J63" s="13" t="s">
        <v>368</v>
      </c>
      <c r="K63" s="19" t="s">
        <v>82</v>
      </c>
      <c r="L63" s="17" t="s">
        <v>51</v>
      </c>
      <c r="M63" s="23" t="s">
        <v>375</v>
      </c>
    </row>
    <row r="64" spans="1:13" ht="29" x14ac:dyDescent="0.35">
      <c r="A64" s="14">
        <v>60</v>
      </c>
      <c r="B64" s="14">
        <v>60</v>
      </c>
      <c r="C64" s="30" t="s">
        <v>90</v>
      </c>
      <c r="D64" s="24" t="s">
        <v>376</v>
      </c>
      <c r="E64" s="24" t="s">
        <v>377</v>
      </c>
      <c r="F64" s="24" t="s">
        <v>378</v>
      </c>
      <c r="G64" s="24" t="s">
        <v>379</v>
      </c>
      <c r="H64" s="14" t="s">
        <v>374</v>
      </c>
      <c r="I64" s="14" t="s">
        <v>367</v>
      </c>
      <c r="J64" s="14" t="s">
        <v>368</v>
      </c>
      <c r="K64" s="21" t="s">
        <v>82</v>
      </c>
      <c r="L64" s="17" t="s">
        <v>51</v>
      </c>
      <c r="M64" s="24" t="s">
        <v>380</v>
      </c>
    </row>
    <row r="65" spans="1:13" ht="43.5" x14ac:dyDescent="0.35">
      <c r="A65" s="13">
        <v>61</v>
      </c>
      <c r="B65" s="13">
        <v>61</v>
      </c>
      <c r="C65" s="30" t="s">
        <v>90</v>
      </c>
      <c r="D65" s="23" t="s">
        <v>381</v>
      </c>
      <c r="E65" s="23" t="s">
        <v>382</v>
      </c>
      <c r="F65" s="23" t="s">
        <v>383</v>
      </c>
      <c r="G65" s="23" t="s">
        <v>384</v>
      </c>
      <c r="H65" s="13" t="s">
        <v>374</v>
      </c>
      <c r="I65" s="13" t="s">
        <v>367</v>
      </c>
      <c r="J65" s="13" t="s">
        <v>368</v>
      </c>
      <c r="K65" s="19" t="s">
        <v>82</v>
      </c>
      <c r="L65" s="17" t="s">
        <v>51</v>
      </c>
      <c r="M65" s="23" t="s">
        <v>385</v>
      </c>
    </row>
    <row r="66" spans="1:13" ht="43.5" x14ac:dyDescent="0.35">
      <c r="A66" s="14">
        <v>62</v>
      </c>
      <c r="B66" s="14">
        <v>62</v>
      </c>
      <c r="C66" s="12" t="s">
        <v>183</v>
      </c>
      <c r="D66" s="24" t="s">
        <v>386</v>
      </c>
      <c r="E66" s="24" t="s">
        <v>387</v>
      </c>
      <c r="F66" s="24" t="s">
        <v>388</v>
      </c>
      <c r="G66" s="24" t="s">
        <v>389</v>
      </c>
      <c r="H66" s="14" t="s">
        <v>374</v>
      </c>
      <c r="I66" s="14" t="s">
        <v>367</v>
      </c>
      <c r="J66" s="14" t="s">
        <v>368</v>
      </c>
      <c r="K66" s="21" t="s">
        <v>82</v>
      </c>
      <c r="L66" s="17" t="s">
        <v>51</v>
      </c>
      <c r="M66" s="24" t="s">
        <v>390</v>
      </c>
    </row>
    <row r="67" spans="1:13" ht="29" x14ac:dyDescent="0.35">
      <c r="A67" s="13">
        <v>63</v>
      </c>
      <c r="B67" s="13">
        <v>63</v>
      </c>
      <c r="C67" s="30" t="s">
        <v>90</v>
      </c>
      <c r="D67" s="23" t="s">
        <v>391</v>
      </c>
      <c r="E67" s="23" t="s">
        <v>392</v>
      </c>
      <c r="F67" s="23" t="s">
        <v>393</v>
      </c>
      <c r="G67" s="23" t="s">
        <v>394</v>
      </c>
      <c r="H67" s="13" t="s">
        <v>48</v>
      </c>
      <c r="I67" s="13" t="s">
        <v>395</v>
      </c>
      <c r="J67" s="13" t="s">
        <v>150</v>
      </c>
      <c r="K67" s="19" t="s">
        <v>82</v>
      </c>
      <c r="L67" s="17" t="s">
        <v>51</v>
      </c>
      <c r="M67" s="23" t="s">
        <v>396</v>
      </c>
    </row>
    <row r="68" spans="1:13" ht="29" x14ac:dyDescent="0.35">
      <c r="A68" s="14">
        <v>64</v>
      </c>
      <c r="B68" s="14">
        <v>64</v>
      </c>
      <c r="C68" s="30" t="s">
        <v>90</v>
      </c>
      <c r="D68" s="24" t="s">
        <v>397</v>
      </c>
      <c r="E68" s="24" t="s">
        <v>398</v>
      </c>
      <c r="F68" s="24" t="s">
        <v>399</v>
      </c>
      <c r="G68" s="24" t="s">
        <v>400</v>
      </c>
      <c r="H68" s="14" t="s">
        <v>401</v>
      </c>
      <c r="I68" s="14" t="s">
        <v>395</v>
      </c>
      <c r="J68" s="14" t="s">
        <v>150</v>
      </c>
      <c r="K68" s="21" t="s">
        <v>82</v>
      </c>
      <c r="L68" s="17" t="s">
        <v>51</v>
      </c>
      <c r="M68" s="24" t="s">
        <v>402</v>
      </c>
    </row>
    <row r="69" spans="1:13" ht="29" x14ac:dyDescent="0.35">
      <c r="A69" s="13">
        <v>65</v>
      </c>
      <c r="B69" s="13">
        <v>65</v>
      </c>
      <c r="C69" s="30" t="s">
        <v>90</v>
      </c>
      <c r="D69" s="23" t="s">
        <v>403</v>
      </c>
      <c r="E69" s="23" t="s">
        <v>404</v>
      </c>
      <c r="F69" s="23" t="s">
        <v>405</v>
      </c>
      <c r="G69" s="23" t="s">
        <v>406</v>
      </c>
      <c r="H69" s="13" t="s">
        <v>401</v>
      </c>
      <c r="I69" s="13" t="s">
        <v>395</v>
      </c>
      <c r="J69" s="13" t="s">
        <v>150</v>
      </c>
      <c r="K69" s="19" t="s">
        <v>82</v>
      </c>
      <c r="L69" s="19" t="s">
        <v>51</v>
      </c>
      <c r="M69" s="23"/>
    </row>
    <row r="70" spans="1:13" x14ac:dyDescent="0.35">
      <c r="A70" s="14">
        <v>66</v>
      </c>
      <c r="B70" s="14">
        <v>66</v>
      </c>
      <c r="C70" s="30" t="s">
        <v>90</v>
      </c>
      <c r="D70" s="24" t="s">
        <v>407</v>
      </c>
      <c r="E70" s="24" t="s">
        <v>408</v>
      </c>
      <c r="F70" s="24" t="s">
        <v>409</v>
      </c>
      <c r="G70" s="24" t="s">
        <v>410</v>
      </c>
      <c r="H70" s="14" t="s">
        <v>48</v>
      </c>
      <c r="I70" s="14" t="s">
        <v>395</v>
      </c>
      <c r="J70" s="14" t="s">
        <v>150</v>
      </c>
      <c r="K70" s="21" t="s">
        <v>82</v>
      </c>
      <c r="L70" s="17" t="s">
        <v>51</v>
      </c>
      <c r="M70" s="24" t="s">
        <v>411</v>
      </c>
    </row>
    <row r="71" spans="1:13" ht="29" x14ac:dyDescent="0.35">
      <c r="A71" s="13">
        <v>67</v>
      </c>
      <c r="B71" s="13">
        <v>67</v>
      </c>
      <c r="C71" s="30" t="s">
        <v>90</v>
      </c>
      <c r="D71" s="23" t="s">
        <v>412</v>
      </c>
      <c r="E71" s="23" t="s">
        <v>413</v>
      </c>
      <c r="F71" s="23" t="s">
        <v>414</v>
      </c>
      <c r="G71" s="23" t="s">
        <v>415</v>
      </c>
      <c r="H71" s="13" t="s">
        <v>416</v>
      </c>
      <c r="I71" s="13" t="s">
        <v>395</v>
      </c>
      <c r="J71" s="13" t="s">
        <v>150</v>
      </c>
      <c r="K71" s="19" t="s">
        <v>82</v>
      </c>
      <c r="L71" s="17" t="s">
        <v>51</v>
      </c>
      <c r="M71" s="23" t="s">
        <v>417</v>
      </c>
    </row>
    <row r="72" spans="1:13" ht="29" x14ac:dyDescent="0.35">
      <c r="A72" s="14">
        <v>68</v>
      </c>
      <c r="B72" s="14">
        <v>68</v>
      </c>
      <c r="C72" s="12" t="s">
        <v>183</v>
      </c>
      <c r="D72" s="24" t="s">
        <v>418</v>
      </c>
      <c r="E72" s="24" t="s">
        <v>419</v>
      </c>
      <c r="F72" s="24" t="s">
        <v>420</v>
      </c>
      <c r="G72" s="24" t="s">
        <v>421</v>
      </c>
      <c r="H72" s="14" t="s">
        <v>416</v>
      </c>
      <c r="I72" s="14" t="s">
        <v>395</v>
      </c>
      <c r="J72" s="14" t="s">
        <v>150</v>
      </c>
      <c r="K72" s="21" t="s">
        <v>82</v>
      </c>
      <c r="L72" s="17" t="s">
        <v>51</v>
      </c>
      <c r="M72" s="24" t="s">
        <v>422</v>
      </c>
    </row>
    <row r="73" spans="1:13" ht="29" x14ac:dyDescent="0.35">
      <c r="A73" s="13">
        <v>69</v>
      </c>
      <c r="B73" s="13">
        <v>69</v>
      </c>
      <c r="C73" s="30" t="s">
        <v>90</v>
      </c>
      <c r="D73" s="23" t="s">
        <v>423</v>
      </c>
      <c r="E73" s="23" t="s">
        <v>424</v>
      </c>
      <c r="F73" s="23" t="s">
        <v>425</v>
      </c>
      <c r="G73" s="23" t="s">
        <v>426</v>
      </c>
      <c r="H73" s="13" t="s">
        <v>48</v>
      </c>
      <c r="I73" s="13" t="s">
        <v>427</v>
      </c>
      <c r="J73" s="13" t="s">
        <v>150</v>
      </c>
      <c r="K73" s="19" t="s">
        <v>82</v>
      </c>
      <c r="L73" s="17" t="s">
        <v>51</v>
      </c>
      <c r="M73" s="23" t="s">
        <v>428</v>
      </c>
    </row>
    <row r="74" spans="1:13" ht="43.5" x14ac:dyDescent="0.35">
      <c r="A74" s="14">
        <v>70</v>
      </c>
      <c r="B74" s="14">
        <v>70</v>
      </c>
      <c r="C74" s="30" t="s">
        <v>90</v>
      </c>
      <c r="D74" s="24" t="s">
        <v>429</v>
      </c>
      <c r="E74" s="24" t="s">
        <v>430</v>
      </c>
      <c r="F74" s="24" t="s">
        <v>431</v>
      </c>
      <c r="G74" s="24" t="s">
        <v>432</v>
      </c>
      <c r="H74" s="14" t="s">
        <v>433</v>
      </c>
      <c r="I74" s="14" t="s">
        <v>427</v>
      </c>
      <c r="J74" s="14" t="s">
        <v>150</v>
      </c>
      <c r="K74" s="21" t="s">
        <v>82</v>
      </c>
      <c r="L74" s="17" t="s">
        <v>51</v>
      </c>
      <c r="M74" s="24" t="s">
        <v>434</v>
      </c>
    </row>
    <row r="75" spans="1:13" ht="43.5" x14ac:dyDescent="0.35">
      <c r="A75" s="13">
        <v>71</v>
      </c>
      <c r="B75" s="13">
        <v>71</v>
      </c>
      <c r="C75" s="30" t="s">
        <v>90</v>
      </c>
      <c r="D75" s="23" t="s">
        <v>435</v>
      </c>
      <c r="E75" s="23" t="s">
        <v>436</v>
      </c>
      <c r="F75" s="23" t="s">
        <v>437</v>
      </c>
      <c r="G75" s="23" t="s">
        <v>438</v>
      </c>
      <c r="H75" s="13" t="s">
        <v>433</v>
      </c>
      <c r="I75" s="13" t="s">
        <v>427</v>
      </c>
      <c r="J75" s="13" t="s">
        <v>150</v>
      </c>
      <c r="K75" s="19" t="s">
        <v>82</v>
      </c>
      <c r="L75" s="17" t="s">
        <v>51</v>
      </c>
      <c r="M75" s="23" t="s">
        <v>439</v>
      </c>
    </row>
    <row r="76" spans="1:13" ht="43.5" x14ac:dyDescent="0.35">
      <c r="A76" s="14">
        <v>72</v>
      </c>
      <c r="B76" s="14">
        <v>72</v>
      </c>
      <c r="C76" s="12" t="s">
        <v>183</v>
      </c>
      <c r="D76" s="24" t="s">
        <v>440</v>
      </c>
      <c r="E76" s="24" t="s">
        <v>441</v>
      </c>
      <c r="F76" s="24" t="s">
        <v>442</v>
      </c>
      <c r="G76" s="24" t="s">
        <v>443</v>
      </c>
      <c r="H76" s="14" t="s">
        <v>433</v>
      </c>
      <c r="I76" s="14" t="s">
        <v>427</v>
      </c>
      <c r="J76" s="14" t="s">
        <v>150</v>
      </c>
      <c r="K76" s="21" t="s">
        <v>82</v>
      </c>
      <c r="L76" s="17" t="s">
        <v>51</v>
      </c>
      <c r="M76" s="24" t="s">
        <v>444</v>
      </c>
    </row>
    <row r="77" spans="1:13" ht="29" x14ac:dyDescent="0.35">
      <c r="A77" s="13">
        <v>73</v>
      </c>
      <c r="B77" s="13">
        <v>73</v>
      </c>
      <c r="C77" s="30" t="s">
        <v>90</v>
      </c>
      <c r="D77" s="23" t="s">
        <v>445</v>
      </c>
      <c r="E77" s="23" t="s">
        <v>446</v>
      </c>
      <c r="F77" s="23" t="s">
        <v>447</v>
      </c>
      <c r="G77" s="23" t="s">
        <v>448</v>
      </c>
      <c r="H77" s="13" t="s">
        <v>48</v>
      </c>
      <c r="I77" s="13" t="s">
        <v>427</v>
      </c>
      <c r="J77" s="13" t="s">
        <v>449</v>
      </c>
      <c r="K77" s="19" t="s">
        <v>82</v>
      </c>
      <c r="L77" s="17" t="s">
        <v>51</v>
      </c>
      <c r="M77" s="23" t="s">
        <v>450</v>
      </c>
    </row>
    <row r="78" spans="1:13" ht="29" x14ac:dyDescent="0.35">
      <c r="A78" s="14">
        <v>74</v>
      </c>
      <c r="B78" s="14">
        <v>74</v>
      </c>
      <c r="C78" s="30" t="s">
        <v>90</v>
      </c>
      <c r="D78" s="24" t="s">
        <v>451</v>
      </c>
      <c r="E78" s="24" t="s">
        <v>452</v>
      </c>
      <c r="F78" s="24" t="s">
        <v>453</v>
      </c>
      <c r="G78" s="24" t="s">
        <v>454</v>
      </c>
      <c r="H78" s="14" t="s">
        <v>48</v>
      </c>
      <c r="I78" s="14" t="s">
        <v>455</v>
      </c>
      <c r="J78" s="14" t="s">
        <v>456</v>
      </c>
      <c r="K78" s="21" t="s">
        <v>82</v>
      </c>
      <c r="L78" s="17" t="s">
        <v>51</v>
      </c>
      <c r="M78" s="24" t="s">
        <v>457</v>
      </c>
    </row>
    <row r="79" spans="1:13" ht="43.5" x14ac:dyDescent="0.35">
      <c r="A79" s="13">
        <v>75</v>
      </c>
      <c r="B79" s="13">
        <v>75</v>
      </c>
      <c r="C79" s="12" t="s">
        <v>183</v>
      </c>
      <c r="D79" s="23" t="s">
        <v>458</v>
      </c>
      <c r="E79" s="23" t="s">
        <v>459</v>
      </c>
      <c r="F79" s="23" t="s">
        <v>460</v>
      </c>
      <c r="G79" s="23" t="s">
        <v>461</v>
      </c>
      <c r="H79" s="13" t="s">
        <v>462</v>
      </c>
      <c r="I79" s="13" t="s">
        <v>455</v>
      </c>
      <c r="J79" s="13" t="s">
        <v>456</v>
      </c>
      <c r="K79" s="19" t="s">
        <v>82</v>
      </c>
      <c r="L79" s="17" t="s">
        <v>51</v>
      </c>
      <c r="M79" s="23" t="s">
        <v>463</v>
      </c>
    </row>
    <row r="80" spans="1:13" ht="29" x14ac:dyDescent="0.35">
      <c r="A80" s="14">
        <v>76</v>
      </c>
      <c r="B80" s="14">
        <v>76</v>
      </c>
      <c r="C80" s="30" t="s">
        <v>90</v>
      </c>
      <c r="D80" s="24" t="s">
        <v>464</v>
      </c>
      <c r="E80" s="24" t="s">
        <v>465</v>
      </c>
      <c r="F80" s="24" t="s">
        <v>466</v>
      </c>
      <c r="G80" s="24" t="s">
        <v>467</v>
      </c>
      <c r="H80" s="14" t="s">
        <v>48</v>
      </c>
      <c r="I80" s="14" t="s">
        <v>455</v>
      </c>
      <c r="J80" s="14" t="s">
        <v>468</v>
      </c>
      <c r="K80" s="21" t="s">
        <v>82</v>
      </c>
      <c r="L80" s="17" t="s">
        <v>51</v>
      </c>
      <c r="M80" s="24" t="s">
        <v>469</v>
      </c>
    </row>
    <row r="81" spans="1:13" ht="29" x14ac:dyDescent="0.35">
      <c r="A81" s="13">
        <v>77</v>
      </c>
      <c r="B81" s="13">
        <v>77</v>
      </c>
      <c r="C81" s="12" t="s">
        <v>183</v>
      </c>
      <c r="D81" s="23" t="s">
        <v>470</v>
      </c>
      <c r="E81" s="23" t="s">
        <v>471</v>
      </c>
      <c r="F81" s="23" t="s">
        <v>472</v>
      </c>
      <c r="G81" s="23" t="s">
        <v>473</v>
      </c>
      <c r="H81" s="13" t="s">
        <v>474</v>
      </c>
      <c r="I81" s="13" t="s">
        <v>455</v>
      </c>
      <c r="J81" s="13" t="s">
        <v>468</v>
      </c>
      <c r="K81" s="19" t="s">
        <v>82</v>
      </c>
      <c r="L81" s="17" t="s">
        <v>51</v>
      </c>
      <c r="M81" s="23" t="s">
        <v>475</v>
      </c>
    </row>
    <row r="82" spans="1:13" ht="29" x14ac:dyDescent="0.35">
      <c r="A82" s="14">
        <v>78</v>
      </c>
      <c r="B82" s="14">
        <v>78</v>
      </c>
      <c r="C82" s="12" t="s">
        <v>183</v>
      </c>
      <c r="D82" s="24" t="s">
        <v>476</v>
      </c>
      <c r="E82" s="24" t="s">
        <v>477</v>
      </c>
      <c r="F82" s="24" t="s">
        <v>478</v>
      </c>
      <c r="G82" s="24" t="s">
        <v>479</v>
      </c>
      <c r="H82" s="14" t="s">
        <v>148</v>
      </c>
      <c r="I82" s="14" t="s">
        <v>480</v>
      </c>
      <c r="J82" s="14" t="s">
        <v>81</v>
      </c>
      <c r="K82" s="21" t="s">
        <v>82</v>
      </c>
      <c r="L82" s="17" t="s">
        <v>51</v>
      </c>
      <c r="M82" s="24" t="s">
        <v>481</v>
      </c>
    </row>
    <row r="83" spans="1:13" ht="29" x14ac:dyDescent="0.35">
      <c r="A83" s="13">
        <v>79</v>
      </c>
      <c r="B83" s="13">
        <v>79</v>
      </c>
      <c r="C83" s="12" t="s">
        <v>183</v>
      </c>
      <c r="D83" s="23" t="s">
        <v>482</v>
      </c>
      <c r="E83" s="23" t="s">
        <v>483</v>
      </c>
      <c r="F83" s="23" t="s">
        <v>484</v>
      </c>
      <c r="G83" s="23" t="s">
        <v>485</v>
      </c>
      <c r="H83" s="13" t="s">
        <v>486</v>
      </c>
      <c r="I83" s="13" t="s">
        <v>480</v>
      </c>
      <c r="J83" s="13" t="s">
        <v>81</v>
      </c>
      <c r="K83" s="19" t="s">
        <v>82</v>
      </c>
      <c r="L83" s="17" t="s">
        <v>51</v>
      </c>
      <c r="M83" s="23" t="s">
        <v>487</v>
      </c>
    </row>
    <row r="84" spans="1:13" ht="29" x14ac:dyDescent="0.35">
      <c r="A84" s="14">
        <v>80</v>
      </c>
      <c r="B84" s="14">
        <v>80</v>
      </c>
      <c r="C84" s="12" t="s">
        <v>183</v>
      </c>
      <c r="D84" s="24" t="s">
        <v>488</v>
      </c>
      <c r="E84" s="24" t="s">
        <v>489</v>
      </c>
      <c r="F84" s="24" t="s">
        <v>490</v>
      </c>
      <c r="G84" s="24" t="s">
        <v>491</v>
      </c>
      <c r="H84" s="14" t="s">
        <v>48</v>
      </c>
      <c r="I84" s="14" t="s">
        <v>480</v>
      </c>
      <c r="J84" s="14" t="s">
        <v>81</v>
      </c>
      <c r="K84" s="21" t="s">
        <v>82</v>
      </c>
      <c r="L84" s="17" t="s">
        <v>51</v>
      </c>
      <c r="M84" s="24" t="s">
        <v>492</v>
      </c>
    </row>
    <row r="85" spans="1:13" ht="43.5" x14ac:dyDescent="0.35">
      <c r="A85" s="13">
        <v>81</v>
      </c>
      <c r="B85" s="13">
        <v>81</v>
      </c>
      <c r="C85" s="12" t="s">
        <v>183</v>
      </c>
      <c r="D85" s="23" t="s">
        <v>493</v>
      </c>
      <c r="E85" s="23" t="s">
        <v>494</v>
      </c>
      <c r="F85" s="23" t="s">
        <v>495</v>
      </c>
      <c r="G85" s="23" t="s">
        <v>496</v>
      </c>
      <c r="H85" s="13" t="s">
        <v>497</v>
      </c>
      <c r="I85" s="13" t="s">
        <v>480</v>
      </c>
      <c r="J85" s="13" t="s">
        <v>81</v>
      </c>
      <c r="K85" s="19" t="s">
        <v>82</v>
      </c>
      <c r="L85" s="17" t="s">
        <v>51</v>
      </c>
      <c r="M85" s="23" t="s">
        <v>498</v>
      </c>
    </row>
    <row r="86" spans="1:13" ht="43.5" x14ac:dyDescent="0.35">
      <c r="A86" s="14">
        <v>82</v>
      </c>
      <c r="B86" s="14">
        <v>82</v>
      </c>
      <c r="C86" s="30" t="s">
        <v>90</v>
      </c>
      <c r="D86" s="24" t="s">
        <v>499</v>
      </c>
      <c r="E86" s="24" t="s">
        <v>500</v>
      </c>
      <c r="F86" s="24" t="s">
        <v>501</v>
      </c>
      <c r="G86" s="24" t="s">
        <v>502</v>
      </c>
      <c r="H86" s="14" t="s">
        <v>80</v>
      </c>
      <c r="I86" s="14" t="s">
        <v>480</v>
      </c>
      <c r="J86" s="14" t="s">
        <v>50</v>
      </c>
      <c r="K86" s="24"/>
      <c r="L86" s="18" t="s">
        <v>63</v>
      </c>
      <c r="M86" s="24" t="s">
        <v>503</v>
      </c>
    </row>
    <row r="87" spans="1:13" ht="43.5" x14ac:dyDescent="0.35">
      <c r="A87" s="13">
        <v>83</v>
      </c>
      <c r="B87" s="13">
        <v>83</v>
      </c>
      <c r="C87" s="30" t="s">
        <v>90</v>
      </c>
      <c r="D87" s="23" t="s">
        <v>504</v>
      </c>
      <c r="E87" s="23" t="s">
        <v>505</v>
      </c>
      <c r="F87" s="23" t="s">
        <v>506</v>
      </c>
      <c r="G87" s="23" t="s">
        <v>507</v>
      </c>
      <c r="H87" s="13" t="s">
        <v>508</v>
      </c>
      <c r="I87" s="13" t="s">
        <v>480</v>
      </c>
      <c r="J87" s="13" t="s">
        <v>50</v>
      </c>
      <c r="K87" s="23"/>
      <c r="L87" s="18" t="s">
        <v>63</v>
      </c>
      <c r="M87" s="23" t="s">
        <v>509</v>
      </c>
    </row>
    <row r="88" spans="1:13" ht="43.5" x14ac:dyDescent="0.35">
      <c r="A88" s="14">
        <v>84</v>
      </c>
      <c r="B88" s="14">
        <v>84</v>
      </c>
      <c r="C88" s="30" t="s">
        <v>90</v>
      </c>
      <c r="D88" s="24" t="s">
        <v>510</v>
      </c>
      <c r="E88" s="24" t="s">
        <v>511</v>
      </c>
      <c r="F88" s="24" t="s">
        <v>512</v>
      </c>
      <c r="G88" s="24" t="s">
        <v>513</v>
      </c>
      <c r="H88" s="14" t="s">
        <v>155</v>
      </c>
      <c r="I88" s="14" t="s">
        <v>514</v>
      </c>
      <c r="J88" s="14" t="s">
        <v>150</v>
      </c>
      <c r="K88" s="21" t="s">
        <v>82</v>
      </c>
      <c r="L88" s="20" t="s">
        <v>515</v>
      </c>
      <c r="M88" s="24" t="s">
        <v>516</v>
      </c>
    </row>
    <row r="89" spans="1:13" ht="29" x14ac:dyDescent="0.35">
      <c r="A89" s="13">
        <v>85</v>
      </c>
      <c r="B89" s="13">
        <v>85</v>
      </c>
      <c r="C89" s="30" t="s">
        <v>90</v>
      </c>
      <c r="D89" s="23" t="s">
        <v>517</v>
      </c>
      <c r="E89" s="23" t="s">
        <v>518</v>
      </c>
      <c r="F89" s="23" t="s">
        <v>519</v>
      </c>
      <c r="G89" s="23" t="s">
        <v>520</v>
      </c>
      <c r="H89" s="13" t="s">
        <v>103</v>
      </c>
      <c r="I89" s="13" t="s">
        <v>514</v>
      </c>
      <c r="J89" s="13" t="s">
        <v>150</v>
      </c>
      <c r="K89" s="19" t="s">
        <v>82</v>
      </c>
      <c r="L89" s="17" t="s">
        <v>51</v>
      </c>
      <c r="M89" s="23" t="s">
        <v>521</v>
      </c>
    </row>
    <row r="90" spans="1:13" ht="43.5" x14ac:dyDescent="0.35">
      <c r="A90" s="14">
        <v>86</v>
      </c>
      <c r="B90" s="14">
        <v>86</v>
      </c>
      <c r="C90" s="12" t="s">
        <v>183</v>
      </c>
      <c r="D90" s="24" t="s">
        <v>522</v>
      </c>
      <c r="E90" s="24" t="s">
        <v>523</v>
      </c>
      <c r="F90" s="24" t="s">
        <v>524</v>
      </c>
      <c r="G90" s="24" t="s">
        <v>525</v>
      </c>
      <c r="H90" s="14" t="s">
        <v>526</v>
      </c>
      <c r="I90" s="14" t="s">
        <v>514</v>
      </c>
      <c r="J90" s="14" t="s">
        <v>150</v>
      </c>
      <c r="K90" s="24"/>
      <c r="L90" s="18" t="s">
        <v>63</v>
      </c>
      <c r="M90" s="24" t="s">
        <v>527</v>
      </c>
    </row>
    <row r="91" spans="1:13" ht="29" x14ac:dyDescent="0.35">
      <c r="A91" s="13">
        <v>87</v>
      </c>
      <c r="B91" s="13">
        <v>87</v>
      </c>
      <c r="C91" s="30" t="s">
        <v>90</v>
      </c>
      <c r="D91" s="23" t="s">
        <v>528</v>
      </c>
      <c r="E91" s="23" t="s">
        <v>529</v>
      </c>
      <c r="F91" s="23" t="s">
        <v>530</v>
      </c>
      <c r="G91" s="23" t="s">
        <v>531</v>
      </c>
      <c r="H91" s="13" t="s">
        <v>532</v>
      </c>
      <c r="I91" s="13" t="s">
        <v>514</v>
      </c>
      <c r="J91" s="13" t="s">
        <v>533</v>
      </c>
      <c r="K91" s="19" t="s">
        <v>82</v>
      </c>
      <c r="L91" s="17" t="s">
        <v>51</v>
      </c>
      <c r="M91" s="23" t="s">
        <v>534</v>
      </c>
    </row>
    <row r="92" spans="1:13" ht="43.5" x14ac:dyDescent="0.35">
      <c r="A92" s="14">
        <v>88</v>
      </c>
      <c r="B92" s="14">
        <v>88</v>
      </c>
      <c r="C92" s="12" t="s">
        <v>183</v>
      </c>
      <c r="D92" s="24" t="s">
        <v>535</v>
      </c>
      <c r="E92" s="24" t="s">
        <v>536</v>
      </c>
      <c r="F92" s="24" t="s">
        <v>537</v>
      </c>
      <c r="G92" s="24" t="s">
        <v>538</v>
      </c>
      <c r="H92" s="14" t="s">
        <v>539</v>
      </c>
      <c r="I92" s="14" t="s">
        <v>514</v>
      </c>
      <c r="J92" s="14" t="s">
        <v>533</v>
      </c>
      <c r="K92" s="21" t="s">
        <v>82</v>
      </c>
      <c r="L92" s="17" t="s">
        <v>51</v>
      </c>
      <c r="M92" s="24" t="s">
        <v>540</v>
      </c>
    </row>
    <row r="93" spans="1:13" x14ac:dyDescent="0.35">
      <c r="A93" s="13">
        <v>89</v>
      </c>
      <c r="B93" s="13">
        <v>89</v>
      </c>
      <c r="C93" s="30" t="s">
        <v>90</v>
      </c>
      <c r="D93" s="23" t="s">
        <v>541</v>
      </c>
      <c r="E93" s="23" t="s">
        <v>542</v>
      </c>
      <c r="F93" s="23" t="s">
        <v>543</v>
      </c>
      <c r="G93" s="23" t="s">
        <v>544</v>
      </c>
      <c r="H93" s="13" t="s">
        <v>48</v>
      </c>
      <c r="I93" s="13" t="s">
        <v>514</v>
      </c>
      <c r="J93" s="13" t="s">
        <v>545</v>
      </c>
      <c r="K93" s="19" t="s">
        <v>82</v>
      </c>
      <c r="L93" s="17" t="s">
        <v>51</v>
      </c>
      <c r="M93" s="23" t="s">
        <v>546</v>
      </c>
    </row>
    <row r="94" spans="1:13" ht="29" x14ac:dyDescent="0.35">
      <c r="A94" s="14">
        <v>90</v>
      </c>
      <c r="B94" s="14">
        <v>90</v>
      </c>
      <c r="C94" s="30" t="s">
        <v>90</v>
      </c>
      <c r="D94" s="24" t="s">
        <v>547</v>
      </c>
      <c r="E94" s="24" t="s">
        <v>548</v>
      </c>
      <c r="F94" s="24" t="s">
        <v>549</v>
      </c>
      <c r="G94" s="24" t="s">
        <v>550</v>
      </c>
      <c r="H94" s="14" t="s">
        <v>551</v>
      </c>
      <c r="I94" s="14" t="s">
        <v>514</v>
      </c>
      <c r="J94" s="14" t="s">
        <v>545</v>
      </c>
      <c r="K94" s="21" t="s">
        <v>82</v>
      </c>
      <c r="L94" s="17" t="s">
        <v>51</v>
      </c>
      <c r="M94" s="24" t="s">
        <v>552</v>
      </c>
    </row>
    <row r="95" spans="1:13" ht="29" x14ac:dyDescent="0.35">
      <c r="A95" s="13">
        <v>91</v>
      </c>
      <c r="B95" s="13">
        <v>91</v>
      </c>
      <c r="C95" s="29" t="s">
        <v>43</v>
      </c>
      <c r="D95" s="23" t="s">
        <v>553</v>
      </c>
      <c r="E95" s="23" t="s">
        <v>554</v>
      </c>
      <c r="F95" s="23" t="s">
        <v>555</v>
      </c>
      <c r="G95" s="23" t="s">
        <v>556</v>
      </c>
      <c r="H95" s="13" t="s">
        <v>532</v>
      </c>
      <c r="I95" s="13" t="s">
        <v>557</v>
      </c>
      <c r="J95" s="13" t="s">
        <v>558</v>
      </c>
      <c r="K95" s="19" t="s">
        <v>82</v>
      </c>
      <c r="L95" s="17" t="s">
        <v>51</v>
      </c>
      <c r="M95" s="23" t="s">
        <v>554</v>
      </c>
    </row>
    <row r="96" spans="1:13" ht="43.5" x14ac:dyDescent="0.35">
      <c r="A96" s="14">
        <v>92</v>
      </c>
      <c r="B96" s="14">
        <v>92</v>
      </c>
      <c r="C96" s="30" t="s">
        <v>90</v>
      </c>
      <c r="D96" s="24" t="s">
        <v>559</v>
      </c>
      <c r="E96" s="24" t="s">
        <v>560</v>
      </c>
      <c r="F96" s="24" t="s">
        <v>561</v>
      </c>
      <c r="G96" s="24" t="s">
        <v>562</v>
      </c>
      <c r="H96" s="14" t="s">
        <v>563</v>
      </c>
      <c r="I96" s="14" t="s">
        <v>557</v>
      </c>
      <c r="J96" s="14" t="s">
        <v>533</v>
      </c>
      <c r="K96" s="21" t="s">
        <v>82</v>
      </c>
      <c r="L96" s="17" t="s">
        <v>51</v>
      </c>
      <c r="M96" s="24" t="s">
        <v>564</v>
      </c>
    </row>
    <row r="97" spans="1:13" ht="43.5" x14ac:dyDescent="0.35">
      <c r="A97" s="13">
        <v>93</v>
      </c>
      <c r="B97" s="13">
        <v>93</v>
      </c>
      <c r="C97" s="30" t="s">
        <v>90</v>
      </c>
      <c r="D97" s="23" t="s">
        <v>565</v>
      </c>
      <c r="E97" s="23" t="s">
        <v>566</v>
      </c>
      <c r="F97" s="23" t="s">
        <v>567</v>
      </c>
      <c r="G97" s="23" t="s">
        <v>568</v>
      </c>
      <c r="H97" s="13" t="s">
        <v>563</v>
      </c>
      <c r="I97" s="13" t="s">
        <v>557</v>
      </c>
      <c r="J97" s="13" t="s">
        <v>533</v>
      </c>
      <c r="K97" s="19" t="s">
        <v>82</v>
      </c>
      <c r="L97" s="17" t="s">
        <v>51</v>
      </c>
      <c r="M97" s="23" t="s">
        <v>569</v>
      </c>
    </row>
    <row r="98" spans="1:13" ht="43.5" x14ac:dyDescent="0.35">
      <c r="A98" s="14">
        <v>94</v>
      </c>
      <c r="B98" s="14">
        <v>94</v>
      </c>
      <c r="C98" s="30" t="s">
        <v>90</v>
      </c>
      <c r="D98" s="24" t="s">
        <v>570</v>
      </c>
      <c r="E98" s="24" t="s">
        <v>571</v>
      </c>
      <c r="F98" s="24" t="s">
        <v>572</v>
      </c>
      <c r="G98" s="24" t="s">
        <v>573</v>
      </c>
      <c r="H98" s="14" t="s">
        <v>563</v>
      </c>
      <c r="I98" s="14" t="s">
        <v>557</v>
      </c>
      <c r="J98" s="14" t="s">
        <v>558</v>
      </c>
      <c r="K98" s="21" t="s">
        <v>82</v>
      </c>
      <c r="L98" s="17" t="s">
        <v>51</v>
      </c>
      <c r="M98" s="24" t="s">
        <v>574</v>
      </c>
    </row>
    <row r="99" spans="1:13" ht="43.5" x14ac:dyDescent="0.35">
      <c r="A99" s="13">
        <v>95</v>
      </c>
      <c r="B99" s="13">
        <v>95</v>
      </c>
      <c r="C99" s="29" t="s">
        <v>43</v>
      </c>
      <c r="D99" s="23" t="s">
        <v>575</v>
      </c>
      <c r="E99" s="23" t="s">
        <v>576</v>
      </c>
      <c r="F99" s="23" t="s">
        <v>577</v>
      </c>
      <c r="G99" s="23" t="s">
        <v>578</v>
      </c>
      <c r="H99" s="13" t="s">
        <v>48</v>
      </c>
      <c r="I99" s="13" t="s">
        <v>579</v>
      </c>
      <c r="J99" s="13" t="s">
        <v>50</v>
      </c>
      <c r="K99" s="19" t="s">
        <v>82</v>
      </c>
      <c r="L99" s="17" t="s">
        <v>51</v>
      </c>
      <c r="M99" s="23" t="s">
        <v>580</v>
      </c>
    </row>
    <row r="100" spans="1:13" ht="43.5" x14ac:dyDescent="0.35">
      <c r="A100" s="14">
        <v>96</v>
      </c>
      <c r="B100" s="14">
        <v>96</v>
      </c>
      <c r="C100" s="29" t="s">
        <v>43</v>
      </c>
      <c r="D100" s="24" t="s">
        <v>581</v>
      </c>
      <c r="E100" s="24" t="s">
        <v>582</v>
      </c>
      <c r="F100" s="24" t="s">
        <v>583</v>
      </c>
      <c r="G100" s="24" t="s">
        <v>584</v>
      </c>
      <c r="H100" s="14" t="s">
        <v>48</v>
      </c>
      <c r="I100" s="14" t="s">
        <v>579</v>
      </c>
      <c r="J100" s="14" t="s">
        <v>50</v>
      </c>
      <c r="K100" s="21" t="s">
        <v>82</v>
      </c>
      <c r="L100" s="17" t="s">
        <v>51</v>
      </c>
      <c r="M100" s="24" t="s">
        <v>585</v>
      </c>
    </row>
    <row r="101" spans="1:13" ht="43.5" x14ac:dyDescent="0.35">
      <c r="A101" s="13">
        <v>97</v>
      </c>
      <c r="B101" s="13">
        <v>97</v>
      </c>
      <c r="C101" s="29" t="s">
        <v>43</v>
      </c>
      <c r="D101" s="23" t="s">
        <v>586</v>
      </c>
      <c r="E101" s="23" t="s">
        <v>587</v>
      </c>
      <c r="F101" s="23" t="s">
        <v>588</v>
      </c>
      <c r="G101" s="23" t="s">
        <v>589</v>
      </c>
      <c r="H101" s="13" t="s">
        <v>48</v>
      </c>
      <c r="I101" s="13" t="s">
        <v>579</v>
      </c>
      <c r="J101" s="13" t="s">
        <v>50</v>
      </c>
      <c r="K101" s="19" t="s">
        <v>82</v>
      </c>
      <c r="L101" s="17" t="s">
        <v>51</v>
      </c>
      <c r="M101" s="23" t="s">
        <v>590</v>
      </c>
    </row>
    <row r="102" spans="1:13" ht="43.5" x14ac:dyDescent="0.35">
      <c r="A102" s="14">
        <v>98</v>
      </c>
      <c r="B102" s="14">
        <v>98</v>
      </c>
      <c r="C102" s="29" t="s">
        <v>43</v>
      </c>
      <c r="D102" s="24" t="s">
        <v>591</v>
      </c>
      <c r="E102" s="24" t="s">
        <v>592</v>
      </c>
      <c r="F102" s="24" t="s">
        <v>593</v>
      </c>
      <c r="G102" s="24" t="s">
        <v>594</v>
      </c>
      <c r="H102" s="14" t="s">
        <v>69</v>
      </c>
      <c r="I102" s="14" t="s">
        <v>579</v>
      </c>
      <c r="J102" s="14" t="s">
        <v>50</v>
      </c>
      <c r="K102" s="21" t="s">
        <v>82</v>
      </c>
      <c r="L102" s="17" t="s">
        <v>51</v>
      </c>
      <c r="M102" s="24" t="s">
        <v>595</v>
      </c>
    </row>
    <row r="103" spans="1:13" ht="43.5" x14ac:dyDescent="0.35">
      <c r="A103" s="13">
        <v>99</v>
      </c>
      <c r="B103" s="13">
        <v>99</v>
      </c>
      <c r="C103" s="29" t="s">
        <v>43</v>
      </c>
      <c r="D103" s="23" t="s">
        <v>596</v>
      </c>
      <c r="E103" s="23" t="s">
        <v>597</v>
      </c>
      <c r="F103" s="23" t="s">
        <v>598</v>
      </c>
      <c r="G103" s="23" t="s">
        <v>599</v>
      </c>
      <c r="H103" s="13" t="s">
        <v>48</v>
      </c>
      <c r="I103" s="13" t="s">
        <v>579</v>
      </c>
      <c r="J103" s="13" t="s">
        <v>50</v>
      </c>
      <c r="K103" s="19" t="s">
        <v>82</v>
      </c>
      <c r="L103" s="17" t="s">
        <v>51</v>
      </c>
      <c r="M103" s="23" t="s">
        <v>600</v>
      </c>
    </row>
    <row r="104" spans="1:13" ht="43.5" x14ac:dyDescent="0.35">
      <c r="A104" s="14">
        <v>100</v>
      </c>
      <c r="B104" s="14">
        <v>100</v>
      </c>
      <c r="C104" s="29" t="s">
        <v>43</v>
      </c>
      <c r="D104" s="24" t="s">
        <v>601</v>
      </c>
      <c r="E104" s="24" t="s">
        <v>602</v>
      </c>
      <c r="F104" s="24" t="s">
        <v>603</v>
      </c>
      <c r="G104" s="24" t="s">
        <v>604</v>
      </c>
      <c r="H104" s="14" t="s">
        <v>48</v>
      </c>
      <c r="I104" s="14" t="s">
        <v>579</v>
      </c>
      <c r="J104" s="14" t="s">
        <v>50</v>
      </c>
      <c r="K104" s="21" t="s">
        <v>82</v>
      </c>
      <c r="L104" s="17" t="s">
        <v>51</v>
      </c>
      <c r="M104" s="24" t="s">
        <v>605</v>
      </c>
    </row>
    <row r="105" spans="1:13" ht="43.5" x14ac:dyDescent="0.35">
      <c r="A105" s="13">
        <v>101</v>
      </c>
      <c r="B105" s="13">
        <v>101</v>
      </c>
      <c r="C105" s="29" t="s">
        <v>43</v>
      </c>
      <c r="D105" s="23" t="s">
        <v>606</v>
      </c>
      <c r="E105" s="23" t="s">
        <v>607</v>
      </c>
      <c r="F105" s="23" t="s">
        <v>608</v>
      </c>
      <c r="G105" s="23" t="s">
        <v>609</v>
      </c>
      <c r="H105" s="13" t="s">
        <v>48</v>
      </c>
      <c r="I105" s="13" t="s">
        <v>579</v>
      </c>
      <c r="J105" s="13" t="s">
        <v>50</v>
      </c>
      <c r="K105" s="19" t="s">
        <v>82</v>
      </c>
      <c r="L105" s="17" t="s">
        <v>51</v>
      </c>
      <c r="M105" s="23" t="s">
        <v>610</v>
      </c>
    </row>
    <row r="106" spans="1:13" ht="43.5" x14ac:dyDescent="0.35">
      <c r="A106" s="14">
        <v>102</v>
      </c>
      <c r="B106" s="14">
        <v>102</v>
      </c>
      <c r="C106" s="30" t="s">
        <v>90</v>
      </c>
      <c r="D106" s="24" t="s">
        <v>611</v>
      </c>
      <c r="E106" s="24" t="s">
        <v>612</v>
      </c>
      <c r="F106" s="24" t="s">
        <v>613</v>
      </c>
      <c r="G106" s="24" t="s">
        <v>614</v>
      </c>
      <c r="H106" s="14" t="s">
        <v>615</v>
      </c>
      <c r="I106" s="14" t="s">
        <v>579</v>
      </c>
      <c r="J106" s="14" t="s">
        <v>50</v>
      </c>
      <c r="K106" s="21" t="s">
        <v>82</v>
      </c>
      <c r="L106" s="17" t="s">
        <v>51</v>
      </c>
      <c r="M106" s="24" t="s">
        <v>616</v>
      </c>
    </row>
    <row r="107" spans="1:13" ht="29" x14ac:dyDescent="0.35">
      <c r="A107" s="13">
        <v>103</v>
      </c>
      <c r="B107" s="13">
        <v>103</v>
      </c>
      <c r="C107" s="30" t="s">
        <v>90</v>
      </c>
      <c r="D107" s="23" t="s">
        <v>617</v>
      </c>
      <c r="E107" s="23" t="s">
        <v>618</v>
      </c>
      <c r="F107" s="23" t="s">
        <v>619</v>
      </c>
      <c r="G107" s="23" t="s">
        <v>620</v>
      </c>
      <c r="H107" s="13" t="s">
        <v>48</v>
      </c>
      <c r="I107" s="13" t="s">
        <v>579</v>
      </c>
      <c r="J107" s="13" t="s">
        <v>50</v>
      </c>
      <c r="K107" s="19" t="s">
        <v>82</v>
      </c>
      <c r="L107" s="17" t="s">
        <v>51</v>
      </c>
      <c r="M107" s="23" t="s">
        <v>621</v>
      </c>
    </row>
    <row r="108" spans="1:13" ht="29" x14ac:dyDescent="0.35">
      <c r="A108" s="14">
        <v>104</v>
      </c>
      <c r="B108" s="14">
        <v>104</v>
      </c>
      <c r="C108" s="30" t="s">
        <v>90</v>
      </c>
      <c r="D108" s="24" t="s">
        <v>622</v>
      </c>
      <c r="E108" s="24" t="s">
        <v>623</v>
      </c>
      <c r="F108" s="24" t="s">
        <v>624</v>
      </c>
      <c r="G108" s="24" t="s">
        <v>625</v>
      </c>
      <c r="H108" s="14" t="s">
        <v>48</v>
      </c>
      <c r="I108" s="14" t="s">
        <v>579</v>
      </c>
      <c r="J108" s="14" t="s">
        <v>50</v>
      </c>
      <c r="K108" s="21" t="s">
        <v>82</v>
      </c>
      <c r="L108" s="17" t="s">
        <v>51</v>
      </c>
      <c r="M108" s="24" t="s">
        <v>626</v>
      </c>
    </row>
    <row r="109" spans="1:13" ht="43.5" x14ac:dyDescent="0.35">
      <c r="A109" s="13">
        <v>105</v>
      </c>
      <c r="B109" s="13">
        <v>105</v>
      </c>
      <c r="C109" s="30" t="s">
        <v>90</v>
      </c>
      <c r="D109" s="23" t="s">
        <v>627</v>
      </c>
      <c r="E109" s="23" t="s">
        <v>628</v>
      </c>
      <c r="F109" s="23" t="s">
        <v>629</v>
      </c>
      <c r="G109" s="23" t="s">
        <v>630</v>
      </c>
      <c r="H109" s="13" t="s">
        <v>48</v>
      </c>
      <c r="I109" s="13" t="s">
        <v>579</v>
      </c>
      <c r="J109" s="13" t="s">
        <v>50</v>
      </c>
      <c r="K109" s="19" t="s">
        <v>82</v>
      </c>
      <c r="L109" s="17" t="s">
        <v>51</v>
      </c>
      <c r="M109" s="23" t="s">
        <v>631</v>
      </c>
    </row>
    <row r="110" spans="1:13" ht="29" x14ac:dyDescent="0.35">
      <c r="A110" s="14">
        <v>106</v>
      </c>
      <c r="B110" s="14">
        <v>106</v>
      </c>
      <c r="C110" s="30" t="s">
        <v>90</v>
      </c>
      <c r="D110" s="24" t="s">
        <v>632</v>
      </c>
      <c r="E110" s="24" t="s">
        <v>633</v>
      </c>
      <c r="F110" s="24" t="s">
        <v>55</v>
      </c>
      <c r="G110" s="24" t="s">
        <v>634</v>
      </c>
      <c r="H110" s="14" t="s">
        <v>69</v>
      </c>
      <c r="I110" s="14" t="s">
        <v>579</v>
      </c>
      <c r="J110" s="14" t="s">
        <v>50</v>
      </c>
      <c r="K110" s="21" t="s">
        <v>82</v>
      </c>
      <c r="L110" s="17" t="s">
        <v>51</v>
      </c>
      <c r="M110" s="24" t="s">
        <v>635</v>
      </c>
    </row>
    <row r="111" spans="1:13" ht="43.5" x14ac:dyDescent="0.35">
      <c r="A111" s="13">
        <v>107</v>
      </c>
      <c r="B111" s="13">
        <v>107</v>
      </c>
      <c r="C111" s="30" t="s">
        <v>90</v>
      </c>
      <c r="D111" s="23" t="s">
        <v>636</v>
      </c>
      <c r="E111" s="23" t="s">
        <v>637</v>
      </c>
      <c r="F111" s="23" t="s">
        <v>638</v>
      </c>
      <c r="G111" s="23" t="s">
        <v>639</v>
      </c>
      <c r="H111" s="13" t="s">
        <v>48</v>
      </c>
      <c r="I111" s="13" t="s">
        <v>579</v>
      </c>
      <c r="J111" s="13" t="s">
        <v>50</v>
      </c>
      <c r="K111" s="19" t="s">
        <v>82</v>
      </c>
      <c r="L111" s="17" t="s">
        <v>51</v>
      </c>
      <c r="M111" s="23" t="s">
        <v>640</v>
      </c>
    </row>
    <row r="112" spans="1:13" ht="43.5" x14ac:dyDescent="0.35">
      <c r="A112" s="14">
        <v>108</v>
      </c>
      <c r="B112" s="14">
        <v>108</v>
      </c>
      <c r="C112" s="30" t="s">
        <v>90</v>
      </c>
      <c r="D112" s="24" t="s">
        <v>641</v>
      </c>
      <c r="E112" s="24" t="s">
        <v>642</v>
      </c>
      <c r="F112" s="24" t="s">
        <v>643</v>
      </c>
      <c r="G112" s="24" t="s">
        <v>644</v>
      </c>
      <c r="H112" s="14" t="s">
        <v>48</v>
      </c>
      <c r="I112" s="14" t="s">
        <v>579</v>
      </c>
      <c r="J112" s="14" t="s">
        <v>50</v>
      </c>
      <c r="K112" s="21" t="s">
        <v>82</v>
      </c>
      <c r="L112" s="21" t="s">
        <v>645</v>
      </c>
      <c r="M112" s="24" t="s">
        <v>646</v>
      </c>
    </row>
    <row r="113" spans="1:13" ht="43.5" x14ac:dyDescent="0.35">
      <c r="A113" s="13">
        <v>109</v>
      </c>
      <c r="B113" s="13">
        <v>109</v>
      </c>
      <c r="C113" s="30" t="s">
        <v>90</v>
      </c>
      <c r="D113" s="23" t="s">
        <v>647</v>
      </c>
      <c r="E113" s="23" t="s">
        <v>648</v>
      </c>
      <c r="F113" s="23" t="s">
        <v>649</v>
      </c>
      <c r="G113" s="23" t="s">
        <v>650</v>
      </c>
      <c r="H113" s="13" t="s">
        <v>277</v>
      </c>
      <c r="I113" s="13" t="s">
        <v>579</v>
      </c>
      <c r="J113" s="13" t="s">
        <v>50</v>
      </c>
      <c r="K113" s="19" t="s">
        <v>82</v>
      </c>
      <c r="L113" s="17" t="s">
        <v>51</v>
      </c>
      <c r="M113" s="23" t="s">
        <v>651</v>
      </c>
    </row>
    <row r="114" spans="1:13" ht="43.5" x14ac:dyDescent="0.35">
      <c r="A114" s="14">
        <v>110</v>
      </c>
      <c r="B114" s="14">
        <v>110</v>
      </c>
      <c r="C114" s="30" t="s">
        <v>90</v>
      </c>
      <c r="D114" s="24" t="s">
        <v>652</v>
      </c>
      <c r="E114" s="24" t="s">
        <v>653</v>
      </c>
      <c r="F114" s="24" t="s">
        <v>654</v>
      </c>
      <c r="G114" s="24" t="s">
        <v>655</v>
      </c>
      <c r="H114" s="14" t="s">
        <v>48</v>
      </c>
      <c r="I114" s="14" t="s">
        <v>579</v>
      </c>
      <c r="J114" s="14" t="s">
        <v>50</v>
      </c>
      <c r="K114" s="21" t="s">
        <v>82</v>
      </c>
      <c r="L114" s="17" t="s">
        <v>51</v>
      </c>
      <c r="M114" s="24" t="s">
        <v>656</v>
      </c>
    </row>
    <row r="115" spans="1:13" ht="29" x14ac:dyDescent="0.35">
      <c r="A115" s="13">
        <v>111</v>
      </c>
      <c r="B115" s="13">
        <v>111</v>
      </c>
      <c r="C115" s="12" t="s">
        <v>183</v>
      </c>
      <c r="D115" s="23" t="s">
        <v>657</v>
      </c>
      <c r="E115" s="23" t="s">
        <v>658</v>
      </c>
      <c r="F115" s="23" t="s">
        <v>659</v>
      </c>
      <c r="G115" s="23" t="s">
        <v>660</v>
      </c>
      <c r="H115" s="13" t="s">
        <v>69</v>
      </c>
      <c r="I115" s="13" t="s">
        <v>661</v>
      </c>
      <c r="J115" s="13" t="s">
        <v>50</v>
      </c>
      <c r="K115" s="19" t="s">
        <v>82</v>
      </c>
      <c r="L115" s="17" t="s">
        <v>51</v>
      </c>
      <c r="M115" s="23" t="s">
        <v>662</v>
      </c>
    </row>
    <row r="116" spans="1:13" ht="43.5" x14ac:dyDescent="0.35">
      <c r="A116" s="14">
        <v>112</v>
      </c>
      <c r="B116" s="14">
        <v>112</v>
      </c>
      <c r="C116" s="12" t="s">
        <v>183</v>
      </c>
      <c r="D116" s="24" t="s">
        <v>663</v>
      </c>
      <c r="E116" s="24" t="s">
        <v>664</v>
      </c>
      <c r="F116" s="24" t="s">
        <v>665</v>
      </c>
      <c r="G116" s="24" t="s">
        <v>666</v>
      </c>
      <c r="H116" s="14" t="s">
        <v>48</v>
      </c>
      <c r="I116" s="14" t="s">
        <v>661</v>
      </c>
      <c r="J116" s="14" t="s">
        <v>468</v>
      </c>
      <c r="K116" s="21" t="s">
        <v>82</v>
      </c>
      <c r="L116" s="17" t="s">
        <v>51</v>
      </c>
      <c r="M116" s="24" t="s">
        <v>667</v>
      </c>
    </row>
    <row r="117" spans="1:13" ht="29" x14ac:dyDescent="0.35">
      <c r="A117" s="13">
        <v>113</v>
      </c>
      <c r="B117" s="13">
        <v>113</v>
      </c>
      <c r="C117" s="12" t="s">
        <v>183</v>
      </c>
      <c r="D117" s="23" t="s">
        <v>668</v>
      </c>
      <c r="E117" s="23" t="s">
        <v>669</v>
      </c>
      <c r="F117" s="23" t="s">
        <v>670</v>
      </c>
      <c r="G117" s="23" t="s">
        <v>671</v>
      </c>
      <c r="H117" s="13" t="s">
        <v>48</v>
      </c>
      <c r="I117" s="13" t="s">
        <v>661</v>
      </c>
      <c r="J117" s="13" t="s">
        <v>468</v>
      </c>
      <c r="K117" s="19" t="s">
        <v>82</v>
      </c>
      <c r="L117" s="17" t="s">
        <v>51</v>
      </c>
      <c r="M117" s="23" t="s">
        <v>672</v>
      </c>
    </row>
    <row r="118" spans="1:13" ht="29" x14ac:dyDescent="0.35">
      <c r="A118" s="14">
        <v>114</v>
      </c>
      <c r="B118" s="14">
        <v>114</v>
      </c>
      <c r="C118" s="12" t="s">
        <v>183</v>
      </c>
      <c r="D118" s="24" t="s">
        <v>673</v>
      </c>
      <c r="E118" s="24" t="s">
        <v>674</v>
      </c>
      <c r="F118" s="24" t="s">
        <v>675</v>
      </c>
      <c r="G118" s="24" t="s">
        <v>676</v>
      </c>
      <c r="H118" s="14" t="s">
        <v>48</v>
      </c>
      <c r="I118" s="14" t="s">
        <v>661</v>
      </c>
      <c r="J118" s="14" t="s">
        <v>468</v>
      </c>
      <c r="K118" s="21" t="s">
        <v>82</v>
      </c>
      <c r="L118" s="17" t="s">
        <v>51</v>
      </c>
      <c r="M118" s="24" t="s">
        <v>677</v>
      </c>
    </row>
    <row r="119" spans="1:13" ht="58" x14ac:dyDescent="0.35">
      <c r="A119" s="13">
        <v>115</v>
      </c>
      <c r="B119" s="13">
        <v>115</v>
      </c>
      <c r="C119" s="30" t="s">
        <v>90</v>
      </c>
      <c r="D119" s="23" t="s">
        <v>678</v>
      </c>
      <c r="E119" s="23" t="s">
        <v>679</v>
      </c>
      <c r="F119" s="23" t="s">
        <v>680</v>
      </c>
      <c r="G119" s="23" t="s">
        <v>681</v>
      </c>
      <c r="H119" s="13" t="s">
        <v>374</v>
      </c>
      <c r="I119" s="13" t="s">
        <v>682</v>
      </c>
      <c r="J119" s="13" t="s">
        <v>50</v>
      </c>
      <c r="K119" s="19" t="s">
        <v>82</v>
      </c>
      <c r="L119" s="20" t="s">
        <v>515</v>
      </c>
      <c r="M119" s="23" t="s">
        <v>683</v>
      </c>
    </row>
    <row r="120" spans="1:13" ht="43.5" x14ac:dyDescent="0.35">
      <c r="A120" s="14">
        <v>116</v>
      </c>
      <c r="B120" s="14">
        <v>116</v>
      </c>
      <c r="C120" s="30" t="s">
        <v>90</v>
      </c>
      <c r="D120" s="24" t="s">
        <v>684</v>
      </c>
      <c r="E120" s="24" t="s">
        <v>685</v>
      </c>
      <c r="F120" s="24" t="s">
        <v>686</v>
      </c>
      <c r="G120" s="24" t="s">
        <v>687</v>
      </c>
      <c r="H120" s="14" t="s">
        <v>688</v>
      </c>
      <c r="I120" s="14" t="s">
        <v>682</v>
      </c>
      <c r="J120" s="14" t="s">
        <v>50</v>
      </c>
      <c r="K120" s="21" t="s">
        <v>82</v>
      </c>
      <c r="L120" s="17" t="s">
        <v>51</v>
      </c>
      <c r="M120" s="24" t="s">
        <v>689</v>
      </c>
    </row>
    <row r="121" spans="1:13" ht="43.5" x14ac:dyDescent="0.35">
      <c r="A121" s="13">
        <v>117</v>
      </c>
      <c r="B121" s="13">
        <v>117</v>
      </c>
      <c r="C121" s="30" t="s">
        <v>90</v>
      </c>
      <c r="D121" s="23" t="s">
        <v>690</v>
      </c>
      <c r="E121" s="23" t="s">
        <v>691</v>
      </c>
      <c r="F121" s="23" t="s">
        <v>692</v>
      </c>
      <c r="G121" s="23" t="s">
        <v>693</v>
      </c>
      <c r="H121" s="13" t="s">
        <v>401</v>
      </c>
      <c r="I121" s="13" t="s">
        <v>682</v>
      </c>
      <c r="J121" s="13" t="s">
        <v>50</v>
      </c>
      <c r="K121" s="19" t="s">
        <v>82</v>
      </c>
      <c r="L121" s="17" t="s">
        <v>51</v>
      </c>
      <c r="M121" s="23" t="s">
        <v>694</v>
      </c>
    </row>
    <row r="122" spans="1:13" ht="43.5" x14ac:dyDescent="0.35">
      <c r="A122" s="14">
        <v>118</v>
      </c>
      <c r="B122" s="14">
        <v>118</v>
      </c>
      <c r="C122" s="30" t="s">
        <v>90</v>
      </c>
      <c r="D122" s="24" t="s">
        <v>695</v>
      </c>
      <c r="E122" s="24" t="s">
        <v>696</v>
      </c>
      <c r="F122" s="24" t="s">
        <v>697</v>
      </c>
      <c r="G122" s="24" t="s">
        <v>698</v>
      </c>
      <c r="H122" s="14" t="s">
        <v>526</v>
      </c>
      <c r="I122" s="14" t="s">
        <v>682</v>
      </c>
      <c r="J122" s="14" t="s">
        <v>50</v>
      </c>
      <c r="K122" s="21" t="s">
        <v>82</v>
      </c>
      <c r="L122" s="17" t="s">
        <v>51</v>
      </c>
      <c r="M122" s="24" t="s">
        <v>699</v>
      </c>
    </row>
    <row r="123" spans="1:13" ht="43.5" x14ac:dyDescent="0.35">
      <c r="A123" s="13">
        <v>119</v>
      </c>
      <c r="B123" s="13">
        <v>119</v>
      </c>
      <c r="C123" s="30" t="s">
        <v>90</v>
      </c>
      <c r="D123" s="23" t="s">
        <v>700</v>
      </c>
      <c r="E123" s="23" t="s">
        <v>701</v>
      </c>
      <c r="F123" s="23" t="s">
        <v>702</v>
      </c>
      <c r="G123" s="23" t="s">
        <v>698</v>
      </c>
      <c r="H123" s="13" t="s">
        <v>508</v>
      </c>
      <c r="I123" s="13" t="s">
        <v>682</v>
      </c>
      <c r="J123" s="13" t="s">
        <v>50</v>
      </c>
      <c r="K123" s="19" t="s">
        <v>82</v>
      </c>
      <c r="L123" s="17" t="s">
        <v>51</v>
      </c>
      <c r="M123" s="23" t="s">
        <v>703</v>
      </c>
    </row>
    <row r="124" spans="1:13" ht="43.5" x14ac:dyDescent="0.35">
      <c r="A124" s="14">
        <v>120</v>
      </c>
      <c r="B124" s="14">
        <v>120</v>
      </c>
      <c r="C124" s="12" t="s">
        <v>183</v>
      </c>
      <c r="D124" s="24" t="s">
        <v>704</v>
      </c>
      <c r="E124" s="24" t="s">
        <v>705</v>
      </c>
      <c r="F124" s="24" t="s">
        <v>706</v>
      </c>
      <c r="G124" s="24" t="s">
        <v>707</v>
      </c>
      <c r="H124" s="14" t="s">
        <v>88</v>
      </c>
      <c r="I124" s="14" t="s">
        <v>708</v>
      </c>
      <c r="J124" s="14" t="s">
        <v>50</v>
      </c>
      <c r="K124" s="21" t="s">
        <v>82</v>
      </c>
      <c r="L124" s="17" t="s">
        <v>51</v>
      </c>
      <c r="M124" s="24" t="s">
        <v>709</v>
      </c>
    </row>
  </sheetData>
  <autoFilter ref="A4:M124" xr:uid="{00000000-0009-0000-0000-000001000000}">
    <filterColumn colId="11">
      <filters>
        <filter val="Don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workbookViewId="0">
      <pane ySplit="4" topLeftCell="A5" activePane="bottomLeft" state="frozen"/>
      <selection pane="bottomLeft" activeCell="D7" sqref="D7"/>
    </sheetView>
  </sheetViews>
  <sheetFormatPr defaultRowHeight="14.5" x14ac:dyDescent="0.35"/>
  <cols>
    <col min="1" max="1" width="5" style="11" customWidth="1"/>
    <col min="2" max="2" width="11.54296875" style="11" bestFit="1" customWidth="1"/>
    <col min="3" max="3" width="13.81640625" style="11" bestFit="1" customWidth="1"/>
    <col min="4" max="4" width="37.08984375" style="22" customWidth="1"/>
    <col min="5" max="5" width="19.90625" style="11" bestFit="1" customWidth="1"/>
    <col min="6" max="6" width="17.1796875" style="11" bestFit="1" customWidth="1"/>
    <col min="7" max="7" width="38" style="22" bestFit="1" customWidth="1"/>
    <col min="8" max="16384" width="8.7265625" style="22"/>
  </cols>
  <sheetData>
    <row r="1" spans="1:7" x14ac:dyDescent="0.35">
      <c r="A1" s="25" t="s">
        <v>710</v>
      </c>
      <c r="B1" s="28">
        <f>COUNTIF(E5:E79,"Y")/75*100</f>
        <v>100</v>
      </c>
    </row>
    <row r="2" spans="1:7" ht="17" x14ac:dyDescent="0.35">
      <c r="A2" s="27" t="s">
        <v>711</v>
      </c>
    </row>
    <row r="3" spans="1:7" x14ac:dyDescent="0.35">
      <c r="A3" s="25" t="s">
        <v>712</v>
      </c>
    </row>
    <row r="4" spans="1:7" ht="29" x14ac:dyDescent="0.35">
      <c r="A4" s="8" t="s">
        <v>31</v>
      </c>
      <c r="B4" s="8" t="s">
        <v>32</v>
      </c>
      <c r="C4" s="8" t="s">
        <v>713</v>
      </c>
      <c r="D4" s="8" t="s">
        <v>714</v>
      </c>
      <c r="E4" s="8" t="s">
        <v>715</v>
      </c>
      <c r="F4" s="8" t="s">
        <v>716</v>
      </c>
      <c r="G4" s="8" t="s">
        <v>42</v>
      </c>
    </row>
    <row r="5" spans="1:7" ht="29" x14ac:dyDescent="0.35">
      <c r="A5" s="13">
        <v>1</v>
      </c>
      <c r="B5" s="13" t="s">
        <v>717</v>
      </c>
      <c r="C5" s="13" t="s">
        <v>718</v>
      </c>
      <c r="D5" s="23" t="s">
        <v>719</v>
      </c>
      <c r="E5" s="13" t="s">
        <v>720</v>
      </c>
      <c r="F5" s="13" t="s">
        <v>253</v>
      </c>
      <c r="G5" s="23" t="s">
        <v>721</v>
      </c>
    </row>
    <row r="6" spans="1:7" ht="29" x14ac:dyDescent="0.35">
      <c r="A6" s="14">
        <v>2</v>
      </c>
      <c r="B6" s="14" t="s">
        <v>717</v>
      </c>
      <c r="C6" s="14" t="s">
        <v>718</v>
      </c>
      <c r="D6" s="24" t="s">
        <v>722</v>
      </c>
      <c r="E6" s="14" t="s">
        <v>720</v>
      </c>
      <c r="F6" s="14" t="s">
        <v>271</v>
      </c>
      <c r="G6" s="24" t="s">
        <v>723</v>
      </c>
    </row>
    <row r="7" spans="1:7" ht="29" x14ac:dyDescent="0.35">
      <c r="A7" s="13">
        <v>3</v>
      </c>
      <c r="B7" s="13" t="s">
        <v>724</v>
      </c>
      <c r="C7" s="13" t="s">
        <v>718</v>
      </c>
      <c r="D7" s="23" t="s">
        <v>725</v>
      </c>
      <c r="E7" s="13" t="s">
        <v>720</v>
      </c>
      <c r="F7" s="13" t="s">
        <v>367</v>
      </c>
      <c r="G7" s="23" t="s">
        <v>726</v>
      </c>
    </row>
    <row r="8" spans="1:7" ht="29" x14ac:dyDescent="0.35">
      <c r="A8" s="14">
        <v>4</v>
      </c>
      <c r="B8" s="14" t="s">
        <v>724</v>
      </c>
      <c r="C8" s="14" t="s">
        <v>718</v>
      </c>
      <c r="D8" s="24" t="s">
        <v>727</v>
      </c>
      <c r="E8" s="14" t="s">
        <v>720</v>
      </c>
      <c r="F8" s="14" t="s">
        <v>728</v>
      </c>
      <c r="G8" s="24" t="s">
        <v>729</v>
      </c>
    </row>
    <row r="9" spans="1:7" ht="29" x14ac:dyDescent="0.35">
      <c r="A9" s="13">
        <v>5</v>
      </c>
      <c r="B9" s="13" t="s">
        <v>717</v>
      </c>
      <c r="C9" s="13" t="s">
        <v>730</v>
      </c>
      <c r="D9" s="23" t="s">
        <v>731</v>
      </c>
      <c r="E9" s="12" t="s">
        <v>720</v>
      </c>
      <c r="F9" s="13" t="s">
        <v>49</v>
      </c>
      <c r="G9" s="23" t="s">
        <v>732</v>
      </c>
    </row>
    <row r="10" spans="1:7" ht="29" x14ac:dyDescent="0.35">
      <c r="A10" s="14">
        <v>6</v>
      </c>
      <c r="B10" s="14" t="s">
        <v>717</v>
      </c>
      <c r="C10" s="14" t="s">
        <v>730</v>
      </c>
      <c r="D10" s="24" t="s">
        <v>733</v>
      </c>
      <c r="E10" s="12" t="s">
        <v>720</v>
      </c>
      <c r="F10" s="14" t="s">
        <v>119</v>
      </c>
      <c r="G10" s="24" t="s">
        <v>734</v>
      </c>
    </row>
    <row r="11" spans="1:7" ht="29" x14ac:dyDescent="0.35">
      <c r="A11" s="13">
        <v>7</v>
      </c>
      <c r="B11" s="13" t="s">
        <v>717</v>
      </c>
      <c r="C11" s="13" t="s">
        <v>730</v>
      </c>
      <c r="D11" s="23" t="s">
        <v>735</v>
      </c>
      <c r="E11" s="12" t="s">
        <v>720</v>
      </c>
      <c r="F11" s="13" t="s">
        <v>736</v>
      </c>
      <c r="G11" s="23" t="s">
        <v>737</v>
      </c>
    </row>
    <row r="12" spans="1:7" x14ac:dyDescent="0.35">
      <c r="A12" s="14">
        <v>8</v>
      </c>
      <c r="B12" s="14" t="s">
        <v>717</v>
      </c>
      <c r="C12" s="14" t="s">
        <v>730</v>
      </c>
      <c r="D12" s="24" t="s">
        <v>738</v>
      </c>
      <c r="E12" s="14" t="s">
        <v>720</v>
      </c>
      <c r="F12" s="14" t="s">
        <v>149</v>
      </c>
      <c r="G12" s="24" t="s">
        <v>739</v>
      </c>
    </row>
    <row r="13" spans="1:7" ht="29" x14ac:dyDescent="0.35">
      <c r="A13" s="13">
        <v>9</v>
      </c>
      <c r="B13" s="13" t="s">
        <v>717</v>
      </c>
      <c r="C13" s="13" t="s">
        <v>730</v>
      </c>
      <c r="D13" s="23" t="s">
        <v>740</v>
      </c>
      <c r="E13" s="12" t="s">
        <v>720</v>
      </c>
      <c r="F13" s="13" t="s">
        <v>741</v>
      </c>
      <c r="G13" s="23" t="s">
        <v>742</v>
      </c>
    </row>
    <row r="14" spans="1:7" x14ac:dyDescent="0.35">
      <c r="A14" s="14">
        <v>10</v>
      </c>
      <c r="B14" s="14" t="s">
        <v>717</v>
      </c>
      <c r="C14" s="14" t="s">
        <v>730</v>
      </c>
      <c r="D14" s="24" t="s">
        <v>743</v>
      </c>
      <c r="E14" s="14" t="s">
        <v>720</v>
      </c>
      <c r="F14" s="14" t="s">
        <v>744</v>
      </c>
      <c r="G14" s="24" t="s">
        <v>745</v>
      </c>
    </row>
    <row r="15" spans="1:7" ht="29" x14ac:dyDescent="0.35">
      <c r="A15" s="13">
        <v>11</v>
      </c>
      <c r="B15" s="13" t="s">
        <v>717</v>
      </c>
      <c r="C15" s="13" t="s">
        <v>746</v>
      </c>
      <c r="D15" s="23" t="s">
        <v>747</v>
      </c>
      <c r="E15" s="12" t="s">
        <v>720</v>
      </c>
      <c r="F15" s="13" t="s">
        <v>748</v>
      </c>
      <c r="G15" s="23" t="s">
        <v>749</v>
      </c>
    </row>
    <row r="16" spans="1:7" ht="29" x14ac:dyDescent="0.35">
      <c r="A16" s="14">
        <v>12</v>
      </c>
      <c r="B16" s="14" t="s">
        <v>717</v>
      </c>
      <c r="C16" s="14" t="s">
        <v>746</v>
      </c>
      <c r="D16" s="24" t="s">
        <v>750</v>
      </c>
      <c r="E16" s="14" t="s">
        <v>720</v>
      </c>
      <c r="F16" s="14" t="s">
        <v>751</v>
      </c>
      <c r="G16" s="24" t="s">
        <v>752</v>
      </c>
    </row>
    <row r="17" spans="1:7" ht="29" x14ac:dyDescent="0.35">
      <c r="A17" s="13">
        <v>13</v>
      </c>
      <c r="B17" s="13" t="s">
        <v>717</v>
      </c>
      <c r="C17" s="13" t="s">
        <v>746</v>
      </c>
      <c r="D17" s="23" t="s">
        <v>753</v>
      </c>
      <c r="E17" s="12" t="s">
        <v>720</v>
      </c>
      <c r="F17" s="13" t="s">
        <v>754</v>
      </c>
      <c r="G17" s="23" t="s">
        <v>755</v>
      </c>
    </row>
    <row r="18" spans="1:7" ht="29" x14ac:dyDescent="0.35">
      <c r="A18" s="14">
        <v>14</v>
      </c>
      <c r="B18" s="14" t="s">
        <v>724</v>
      </c>
      <c r="C18" s="14" t="s">
        <v>746</v>
      </c>
      <c r="D18" s="24" t="s">
        <v>756</v>
      </c>
      <c r="E18" s="14" t="s">
        <v>720</v>
      </c>
      <c r="F18" s="14" t="s">
        <v>757</v>
      </c>
      <c r="G18" s="24" t="s">
        <v>758</v>
      </c>
    </row>
    <row r="19" spans="1:7" ht="29" x14ac:dyDescent="0.35">
      <c r="A19" s="13">
        <v>15</v>
      </c>
      <c r="B19" s="13" t="s">
        <v>724</v>
      </c>
      <c r="C19" s="13" t="s">
        <v>746</v>
      </c>
      <c r="D19" s="23" t="s">
        <v>759</v>
      </c>
      <c r="E19" s="13" t="s">
        <v>720</v>
      </c>
      <c r="F19" s="13" t="s">
        <v>760</v>
      </c>
      <c r="G19" s="23" t="s">
        <v>761</v>
      </c>
    </row>
    <row r="20" spans="1:7" ht="29" x14ac:dyDescent="0.35">
      <c r="A20" s="14">
        <v>16</v>
      </c>
      <c r="B20" s="14" t="s">
        <v>724</v>
      </c>
      <c r="C20" s="14" t="s">
        <v>746</v>
      </c>
      <c r="D20" s="24" t="s">
        <v>762</v>
      </c>
      <c r="E20" s="14" t="s">
        <v>720</v>
      </c>
      <c r="F20" s="14" t="s">
        <v>763</v>
      </c>
      <c r="G20" s="24" t="s">
        <v>764</v>
      </c>
    </row>
    <row r="21" spans="1:7" ht="29" x14ac:dyDescent="0.35">
      <c r="A21" s="13">
        <v>17</v>
      </c>
      <c r="B21" s="13" t="s">
        <v>724</v>
      </c>
      <c r="C21" s="13" t="s">
        <v>746</v>
      </c>
      <c r="D21" s="23" t="s">
        <v>765</v>
      </c>
      <c r="E21" s="12" t="s">
        <v>720</v>
      </c>
      <c r="F21" s="13" t="s">
        <v>766</v>
      </c>
      <c r="G21" s="23" t="s">
        <v>767</v>
      </c>
    </row>
    <row r="22" spans="1:7" x14ac:dyDescent="0.35">
      <c r="A22" s="14">
        <v>18</v>
      </c>
      <c r="B22" s="14" t="s">
        <v>724</v>
      </c>
      <c r="C22" s="14" t="s">
        <v>746</v>
      </c>
      <c r="D22" s="24" t="s">
        <v>768</v>
      </c>
      <c r="E22" s="14" t="s">
        <v>720</v>
      </c>
      <c r="F22" s="14" t="s">
        <v>769</v>
      </c>
      <c r="G22" s="24" t="s">
        <v>770</v>
      </c>
    </row>
    <row r="23" spans="1:7" ht="29" x14ac:dyDescent="0.35">
      <c r="A23" s="13">
        <v>19</v>
      </c>
      <c r="B23" s="13" t="s">
        <v>724</v>
      </c>
      <c r="C23" s="13" t="s">
        <v>746</v>
      </c>
      <c r="D23" s="23" t="s">
        <v>771</v>
      </c>
      <c r="E23" s="13" t="s">
        <v>720</v>
      </c>
      <c r="F23" s="13" t="s">
        <v>772</v>
      </c>
      <c r="G23" s="23" t="s">
        <v>773</v>
      </c>
    </row>
    <row r="24" spans="1:7" ht="29" x14ac:dyDescent="0.35">
      <c r="A24" s="14">
        <v>20</v>
      </c>
      <c r="B24" s="14" t="s">
        <v>724</v>
      </c>
      <c r="C24" s="14" t="s">
        <v>746</v>
      </c>
      <c r="D24" s="24" t="s">
        <v>774</v>
      </c>
      <c r="E24" s="14" t="s">
        <v>720</v>
      </c>
      <c r="F24" s="14" t="s">
        <v>775</v>
      </c>
      <c r="G24" s="24" t="s">
        <v>776</v>
      </c>
    </row>
    <row r="25" spans="1:7" ht="29" x14ac:dyDescent="0.35">
      <c r="A25" s="13">
        <v>21</v>
      </c>
      <c r="B25" s="13" t="s">
        <v>724</v>
      </c>
      <c r="C25" s="13" t="s">
        <v>746</v>
      </c>
      <c r="D25" s="23" t="s">
        <v>777</v>
      </c>
      <c r="E25" s="13" t="s">
        <v>720</v>
      </c>
      <c r="F25" s="13" t="s">
        <v>778</v>
      </c>
      <c r="G25" s="23" t="s">
        <v>779</v>
      </c>
    </row>
    <row r="26" spans="1:7" ht="29" x14ac:dyDescent="0.35">
      <c r="A26" s="14">
        <v>22</v>
      </c>
      <c r="B26" s="14" t="s">
        <v>724</v>
      </c>
      <c r="C26" s="14" t="s">
        <v>746</v>
      </c>
      <c r="D26" s="24" t="s">
        <v>780</v>
      </c>
      <c r="E26" s="12" t="s">
        <v>720</v>
      </c>
      <c r="F26" s="14" t="s">
        <v>781</v>
      </c>
      <c r="G26" s="24" t="s">
        <v>782</v>
      </c>
    </row>
    <row r="27" spans="1:7" ht="29" x14ac:dyDescent="0.35">
      <c r="A27" s="13">
        <v>23</v>
      </c>
      <c r="B27" s="13" t="s">
        <v>724</v>
      </c>
      <c r="C27" s="13" t="s">
        <v>50</v>
      </c>
      <c r="D27" s="23" t="s">
        <v>783</v>
      </c>
      <c r="E27" s="13" t="s">
        <v>720</v>
      </c>
      <c r="F27" s="13" t="s">
        <v>480</v>
      </c>
      <c r="G27" s="23" t="s">
        <v>784</v>
      </c>
    </row>
    <row r="28" spans="1:7" x14ac:dyDescent="0.35">
      <c r="A28" s="14">
        <v>24</v>
      </c>
      <c r="B28" s="14" t="s">
        <v>724</v>
      </c>
      <c r="C28" s="14" t="s">
        <v>50</v>
      </c>
      <c r="D28" s="24" t="s">
        <v>785</v>
      </c>
      <c r="E28" s="14" t="s">
        <v>720</v>
      </c>
      <c r="F28" s="14" t="s">
        <v>514</v>
      </c>
      <c r="G28" s="24" t="s">
        <v>786</v>
      </c>
    </row>
    <row r="29" spans="1:7" x14ac:dyDescent="0.35">
      <c r="A29" s="13">
        <v>25</v>
      </c>
      <c r="B29" s="13" t="s">
        <v>724</v>
      </c>
      <c r="C29" s="13" t="s">
        <v>50</v>
      </c>
      <c r="D29" s="23" t="s">
        <v>787</v>
      </c>
      <c r="E29" s="13" t="s">
        <v>720</v>
      </c>
      <c r="F29" s="13" t="s">
        <v>557</v>
      </c>
      <c r="G29" s="23" t="s">
        <v>788</v>
      </c>
    </row>
    <row r="30" spans="1:7" x14ac:dyDescent="0.35">
      <c r="A30" s="14">
        <v>26</v>
      </c>
      <c r="B30" s="14" t="s">
        <v>724</v>
      </c>
      <c r="C30" s="14" t="s">
        <v>50</v>
      </c>
      <c r="D30" s="24" t="s">
        <v>789</v>
      </c>
      <c r="E30" s="14" t="s">
        <v>720</v>
      </c>
      <c r="F30" s="14" t="s">
        <v>579</v>
      </c>
      <c r="G30" s="24" t="s">
        <v>790</v>
      </c>
    </row>
    <row r="31" spans="1:7" x14ac:dyDescent="0.35">
      <c r="A31" s="13">
        <v>27</v>
      </c>
      <c r="B31" s="13" t="s">
        <v>724</v>
      </c>
      <c r="C31" s="13" t="s">
        <v>50</v>
      </c>
      <c r="D31" s="23" t="s">
        <v>791</v>
      </c>
      <c r="E31" s="13" t="s">
        <v>720</v>
      </c>
      <c r="F31" s="13" t="s">
        <v>661</v>
      </c>
      <c r="G31" s="23" t="s">
        <v>792</v>
      </c>
    </row>
    <row r="32" spans="1:7" x14ac:dyDescent="0.35">
      <c r="A32" s="14">
        <v>28</v>
      </c>
      <c r="B32" s="14" t="s">
        <v>717</v>
      </c>
      <c r="C32" s="14" t="s">
        <v>793</v>
      </c>
      <c r="D32" s="24" t="s">
        <v>794</v>
      </c>
      <c r="E32" s="14" t="s">
        <v>720</v>
      </c>
      <c r="F32" s="14" t="s">
        <v>795</v>
      </c>
      <c r="G32" s="24" t="s">
        <v>796</v>
      </c>
    </row>
    <row r="33" spans="1:7" ht="29" x14ac:dyDescent="0.35">
      <c r="A33" s="13">
        <v>29</v>
      </c>
      <c r="B33" s="13" t="s">
        <v>717</v>
      </c>
      <c r="C33" s="13" t="s">
        <v>793</v>
      </c>
      <c r="D33" s="23" t="s">
        <v>797</v>
      </c>
      <c r="E33" s="12" t="s">
        <v>720</v>
      </c>
      <c r="F33" s="13" t="s">
        <v>798</v>
      </c>
      <c r="G33" s="23" t="s">
        <v>799</v>
      </c>
    </row>
    <row r="34" spans="1:7" x14ac:dyDescent="0.35">
      <c r="A34" s="14">
        <v>30</v>
      </c>
      <c r="B34" s="14" t="s">
        <v>724</v>
      </c>
      <c r="C34" s="14" t="s">
        <v>793</v>
      </c>
      <c r="D34" s="24" t="s">
        <v>800</v>
      </c>
      <c r="E34" s="14" t="s">
        <v>720</v>
      </c>
      <c r="F34" s="14" t="s">
        <v>801</v>
      </c>
      <c r="G34" s="24" t="s">
        <v>802</v>
      </c>
    </row>
    <row r="35" spans="1:7" x14ac:dyDescent="0.35">
      <c r="A35" s="13">
        <v>31</v>
      </c>
      <c r="B35" s="13" t="s">
        <v>724</v>
      </c>
      <c r="C35" s="13" t="s">
        <v>793</v>
      </c>
      <c r="D35" s="23" t="s">
        <v>803</v>
      </c>
      <c r="E35" s="13" t="s">
        <v>720</v>
      </c>
      <c r="F35" s="13" t="s">
        <v>804</v>
      </c>
      <c r="G35" s="23" t="s">
        <v>805</v>
      </c>
    </row>
    <row r="36" spans="1:7" ht="29" x14ac:dyDescent="0.35">
      <c r="A36" s="14">
        <v>32</v>
      </c>
      <c r="B36" s="14" t="s">
        <v>724</v>
      </c>
      <c r="C36" s="14" t="s">
        <v>793</v>
      </c>
      <c r="D36" s="24" t="s">
        <v>806</v>
      </c>
      <c r="E36" s="14" t="s">
        <v>720</v>
      </c>
      <c r="F36" s="14" t="s">
        <v>682</v>
      </c>
      <c r="G36" s="24" t="s">
        <v>807</v>
      </c>
    </row>
    <row r="37" spans="1:7" ht="29" x14ac:dyDescent="0.35">
      <c r="A37" s="13">
        <v>33</v>
      </c>
      <c r="B37" s="13" t="s">
        <v>717</v>
      </c>
      <c r="C37" s="13" t="s">
        <v>808</v>
      </c>
      <c r="D37" s="23" t="s">
        <v>809</v>
      </c>
      <c r="E37" s="12" t="s">
        <v>720</v>
      </c>
      <c r="F37" s="13" t="s">
        <v>810</v>
      </c>
      <c r="G37" s="23"/>
    </row>
    <row r="38" spans="1:7" ht="29" x14ac:dyDescent="0.35">
      <c r="A38" s="14">
        <v>34</v>
      </c>
      <c r="B38" s="14" t="s">
        <v>724</v>
      </c>
      <c r="C38" s="14" t="s">
        <v>808</v>
      </c>
      <c r="D38" s="24" t="s">
        <v>811</v>
      </c>
      <c r="E38" s="12" t="s">
        <v>720</v>
      </c>
      <c r="F38" s="14" t="s">
        <v>812</v>
      </c>
      <c r="G38" s="24" t="s">
        <v>813</v>
      </c>
    </row>
    <row r="39" spans="1:7" ht="29" x14ac:dyDescent="0.35">
      <c r="A39" s="13">
        <v>35</v>
      </c>
      <c r="B39" s="13" t="s">
        <v>724</v>
      </c>
      <c r="C39" s="13" t="s">
        <v>808</v>
      </c>
      <c r="D39" s="23" t="s">
        <v>814</v>
      </c>
      <c r="E39" s="12" t="s">
        <v>720</v>
      </c>
      <c r="F39" s="13" t="s">
        <v>815</v>
      </c>
      <c r="G39" s="23"/>
    </row>
    <row r="40" spans="1:7" x14ac:dyDescent="0.35">
      <c r="A40" s="14">
        <v>36</v>
      </c>
      <c r="B40" s="14" t="s">
        <v>717</v>
      </c>
      <c r="C40" s="14" t="s">
        <v>816</v>
      </c>
      <c r="D40" s="24" t="s">
        <v>817</v>
      </c>
      <c r="E40" s="12" t="s">
        <v>720</v>
      </c>
      <c r="F40" s="14" t="s">
        <v>818</v>
      </c>
      <c r="G40" s="24" t="s">
        <v>819</v>
      </c>
    </row>
    <row r="41" spans="1:7" ht="29" x14ac:dyDescent="0.35">
      <c r="A41" s="13">
        <v>37</v>
      </c>
      <c r="B41" s="13" t="s">
        <v>724</v>
      </c>
      <c r="C41" s="13" t="s">
        <v>816</v>
      </c>
      <c r="D41" s="23" t="s">
        <v>820</v>
      </c>
      <c r="E41" s="12" t="s">
        <v>720</v>
      </c>
      <c r="F41" s="13" t="s">
        <v>821</v>
      </c>
      <c r="G41" s="23"/>
    </row>
    <row r="42" spans="1:7" ht="29" x14ac:dyDescent="0.35">
      <c r="A42" s="14">
        <v>38</v>
      </c>
      <c r="B42" s="14" t="s">
        <v>724</v>
      </c>
      <c r="C42" s="14" t="s">
        <v>816</v>
      </c>
      <c r="D42" s="24" t="s">
        <v>822</v>
      </c>
      <c r="E42" s="12" t="s">
        <v>720</v>
      </c>
      <c r="F42" s="14" t="s">
        <v>823</v>
      </c>
      <c r="G42" s="24" t="s">
        <v>824</v>
      </c>
    </row>
    <row r="43" spans="1:7" x14ac:dyDescent="0.35">
      <c r="A43" s="13">
        <v>39</v>
      </c>
      <c r="B43" s="13" t="s">
        <v>724</v>
      </c>
      <c r="C43" s="13" t="s">
        <v>816</v>
      </c>
      <c r="D43" s="23" t="s">
        <v>825</v>
      </c>
      <c r="E43" s="13" t="s">
        <v>720</v>
      </c>
      <c r="F43" s="13" t="s">
        <v>826</v>
      </c>
      <c r="G43" s="23"/>
    </row>
    <row r="44" spans="1:7" ht="29" x14ac:dyDescent="0.35">
      <c r="A44" s="14">
        <v>40</v>
      </c>
      <c r="B44" s="14" t="s">
        <v>724</v>
      </c>
      <c r="C44" s="14" t="s">
        <v>816</v>
      </c>
      <c r="D44" s="24" t="s">
        <v>827</v>
      </c>
      <c r="E44" s="14" t="s">
        <v>720</v>
      </c>
      <c r="F44" s="14" t="s">
        <v>828</v>
      </c>
      <c r="G44" s="24"/>
    </row>
    <row r="45" spans="1:7" x14ac:dyDescent="0.35">
      <c r="A45" s="13">
        <v>41</v>
      </c>
      <c r="B45" s="13" t="s">
        <v>717</v>
      </c>
      <c r="C45" s="13" t="s">
        <v>254</v>
      </c>
      <c r="D45" s="23" t="s">
        <v>829</v>
      </c>
      <c r="E45" s="12" t="s">
        <v>720</v>
      </c>
      <c r="F45" s="13" t="s">
        <v>830</v>
      </c>
      <c r="G45" s="23" t="s">
        <v>831</v>
      </c>
    </row>
    <row r="46" spans="1:7" x14ac:dyDescent="0.35">
      <c r="A46" s="14">
        <v>42</v>
      </c>
      <c r="B46" s="14" t="s">
        <v>724</v>
      </c>
      <c r="C46" s="14" t="s">
        <v>832</v>
      </c>
      <c r="D46" s="24" t="s">
        <v>833</v>
      </c>
      <c r="E46" s="12" t="s">
        <v>720</v>
      </c>
      <c r="F46" s="14" t="s">
        <v>834</v>
      </c>
      <c r="G46" s="24"/>
    </row>
    <row r="47" spans="1:7" ht="29" x14ac:dyDescent="0.35">
      <c r="A47" s="13">
        <v>43</v>
      </c>
      <c r="B47" s="13" t="s">
        <v>724</v>
      </c>
      <c r="C47" s="13" t="s">
        <v>832</v>
      </c>
      <c r="D47" s="23" t="s">
        <v>835</v>
      </c>
      <c r="E47" s="13" t="s">
        <v>720</v>
      </c>
      <c r="F47" s="13" t="s">
        <v>836</v>
      </c>
      <c r="G47" s="23" t="s">
        <v>837</v>
      </c>
    </row>
    <row r="48" spans="1:7" x14ac:dyDescent="0.35">
      <c r="A48" s="14">
        <v>44</v>
      </c>
      <c r="B48" s="14" t="s">
        <v>724</v>
      </c>
      <c r="C48" s="14" t="s">
        <v>832</v>
      </c>
      <c r="D48" s="24" t="s">
        <v>838</v>
      </c>
      <c r="E48" s="12" t="s">
        <v>720</v>
      </c>
      <c r="F48" s="14" t="s">
        <v>839</v>
      </c>
      <c r="G48" s="24"/>
    </row>
    <row r="49" spans="1:7" ht="29" x14ac:dyDescent="0.35">
      <c r="A49" s="13">
        <v>45</v>
      </c>
      <c r="B49" s="13" t="s">
        <v>724</v>
      </c>
      <c r="C49" s="13" t="s">
        <v>840</v>
      </c>
      <c r="D49" s="23" t="s">
        <v>841</v>
      </c>
      <c r="E49" s="12" t="s">
        <v>720</v>
      </c>
      <c r="F49" s="13" t="s">
        <v>842</v>
      </c>
      <c r="G49" s="23" t="s">
        <v>843</v>
      </c>
    </row>
    <row r="50" spans="1:7" x14ac:dyDescent="0.35">
      <c r="A50" s="14">
        <v>46</v>
      </c>
      <c r="B50" s="14" t="s">
        <v>724</v>
      </c>
      <c r="C50" s="14" t="s">
        <v>840</v>
      </c>
      <c r="D50" s="24" t="s">
        <v>844</v>
      </c>
      <c r="E50" s="14" t="s">
        <v>720</v>
      </c>
      <c r="F50" s="14" t="s">
        <v>845</v>
      </c>
      <c r="G50" s="24" t="s">
        <v>846</v>
      </c>
    </row>
    <row r="51" spans="1:7" x14ac:dyDescent="0.35">
      <c r="A51" s="13">
        <v>47</v>
      </c>
      <c r="B51" s="13" t="s">
        <v>724</v>
      </c>
      <c r="C51" s="13" t="s">
        <v>840</v>
      </c>
      <c r="D51" s="23" t="s">
        <v>847</v>
      </c>
      <c r="E51" s="13" t="s">
        <v>720</v>
      </c>
      <c r="F51" s="13" t="s">
        <v>848</v>
      </c>
      <c r="G51" s="23"/>
    </row>
    <row r="52" spans="1:7" x14ac:dyDescent="0.35">
      <c r="A52" s="14">
        <v>48</v>
      </c>
      <c r="B52" s="14" t="s">
        <v>724</v>
      </c>
      <c r="C52" s="14" t="s">
        <v>849</v>
      </c>
      <c r="D52" s="24" t="s">
        <v>850</v>
      </c>
      <c r="E52" s="12" t="s">
        <v>720</v>
      </c>
      <c r="F52" s="14" t="s">
        <v>851</v>
      </c>
      <c r="G52" s="24"/>
    </row>
    <row r="53" spans="1:7" ht="29" x14ac:dyDescent="0.35">
      <c r="A53" s="13">
        <v>49</v>
      </c>
      <c r="B53" s="13" t="s">
        <v>724</v>
      </c>
      <c r="C53" s="13" t="s">
        <v>852</v>
      </c>
      <c r="D53" s="23" t="s">
        <v>853</v>
      </c>
      <c r="E53" s="12" t="s">
        <v>720</v>
      </c>
      <c r="F53" s="13" t="s">
        <v>854</v>
      </c>
      <c r="G53" s="23"/>
    </row>
    <row r="54" spans="1:7" x14ac:dyDescent="0.35">
      <c r="A54" s="14">
        <v>50</v>
      </c>
      <c r="B54" s="14" t="s">
        <v>724</v>
      </c>
      <c r="C54" s="14" t="s">
        <v>855</v>
      </c>
      <c r="D54" s="24" t="s">
        <v>856</v>
      </c>
      <c r="E54" s="12" t="s">
        <v>720</v>
      </c>
      <c r="F54" s="14" t="s">
        <v>857</v>
      </c>
      <c r="G54" s="24"/>
    </row>
    <row r="55" spans="1:7" x14ac:dyDescent="0.35">
      <c r="A55" s="13">
        <v>51</v>
      </c>
      <c r="B55" s="13" t="s">
        <v>724</v>
      </c>
      <c r="C55" s="13" t="s">
        <v>858</v>
      </c>
      <c r="D55" s="23" t="s">
        <v>859</v>
      </c>
      <c r="E55" s="13" t="s">
        <v>720</v>
      </c>
      <c r="F55" s="13" t="s">
        <v>860</v>
      </c>
      <c r="G55" s="23" t="s">
        <v>861</v>
      </c>
    </row>
    <row r="56" spans="1:7" x14ac:dyDescent="0.35">
      <c r="A56" s="14">
        <v>52</v>
      </c>
      <c r="B56" s="14" t="s">
        <v>724</v>
      </c>
      <c r="C56" s="14" t="s">
        <v>858</v>
      </c>
      <c r="D56" s="24" t="s">
        <v>862</v>
      </c>
      <c r="E56" s="14" t="s">
        <v>720</v>
      </c>
      <c r="F56" s="14" t="s">
        <v>863</v>
      </c>
      <c r="G56" s="24"/>
    </row>
    <row r="57" spans="1:7" x14ac:dyDescent="0.35">
      <c r="A57" s="13">
        <v>53</v>
      </c>
      <c r="B57" s="13" t="s">
        <v>724</v>
      </c>
      <c r="C57" s="13" t="s">
        <v>858</v>
      </c>
      <c r="D57" s="23" t="s">
        <v>864</v>
      </c>
      <c r="E57" s="13" t="s">
        <v>720</v>
      </c>
      <c r="F57" s="13" t="s">
        <v>865</v>
      </c>
      <c r="G57" s="23"/>
    </row>
    <row r="58" spans="1:7" ht="29" x14ac:dyDescent="0.35">
      <c r="A58" s="14">
        <v>54</v>
      </c>
      <c r="B58" s="14" t="s">
        <v>724</v>
      </c>
      <c r="C58" s="14" t="s">
        <v>858</v>
      </c>
      <c r="D58" s="24" t="s">
        <v>866</v>
      </c>
      <c r="E58" s="14" t="s">
        <v>720</v>
      </c>
      <c r="F58" s="14" t="s">
        <v>867</v>
      </c>
      <c r="G58" s="24"/>
    </row>
    <row r="59" spans="1:7" ht="29" x14ac:dyDescent="0.35">
      <c r="A59" s="13">
        <v>55</v>
      </c>
      <c r="B59" s="13" t="s">
        <v>724</v>
      </c>
      <c r="C59" s="13" t="s">
        <v>858</v>
      </c>
      <c r="D59" s="23" t="s">
        <v>868</v>
      </c>
      <c r="E59" s="13" t="s">
        <v>720</v>
      </c>
      <c r="F59" s="13" t="s">
        <v>869</v>
      </c>
      <c r="G59" s="23"/>
    </row>
    <row r="60" spans="1:7" x14ac:dyDescent="0.35">
      <c r="A60" s="14">
        <v>56</v>
      </c>
      <c r="B60" s="14" t="s">
        <v>724</v>
      </c>
      <c r="C60" s="14" t="s">
        <v>870</v>
      </c>
      <c r="D60" s="24" t="s">
        <v>871</v>
      </c>
      <c r="E60" s="14" t="s">
        <v>720</v>
      </c>
      <c r="F60" s="14" t="s">
        <v>872</v>
      </c>
      <c r="G60" s="24"/>
    </row>
    <row r="61" spans="1:7" x14ac:dyDescent="0.35">
      <c r="A61" s="13">
        <v>57</v>
      </c>
      <c r="B61" s="13" t="s">
        <v>724</v>
      </c>
      <c r="C61" s="13" t="s">
        <v>870</v>
      </c>
      <c r="D61" s="23" t="s">
        <v>873</v>
      </c>
      <c r="E61" s="13" t="s">
        <v>720</v>
      </c>
      <c r="F61" s="13" t="s">
        <v>874</v>
      </c>
      <c r="G61" s="23"/>
    </row>
    <row r="62" spans="1:7" x14ac:dyDescent="0.35">
      <c r="A62" s="14">
        <v>58</v>
      </c>
      <c r="B62" s="14" t="s">
        <v>724</v>
      </c>
      <c r="C62" s="14" t="s">
        <v>875</v>
      </c>
      <c r="D62" s="24" t="s">
        <v>876</v>
      </c>
      <c r="E62" s="12" t="s">
        <v>720</v>
      </c>
      <c r="F62" s="14" t="s">
        <v>877</v>
      </c>
      <c r="G62" s="24"/>
    </row>
    <row r="63" spans="1:7" x14ac:dyDescent="0.35">
      <c r="A63" s="13">
        <v>59</v>
      </c>
      <c r="B63" s="13" t="s">
        <v>724</v>
      </c>
      <c r="C63" s="13" t="s">
        <v>878</v>
      </c>
      <c r="D63" s="23" t="s">
        <v>879</v>
      </c>
      <c r="E63" s="12" t="s">
        <v>720</v>
      </c>
      <c r="F63" s="13" t="s">
        <v>880</v>
      </c>
      <c r="G63" s="23" t="s">
        <v>881</v>
      </c>
    </row>
    <row r="64" spans="1:7" x14ac:dyDescent="0.35">
      <c r="A64" s="14">
        <v>60</v>
      </c>
      <c r="B64" s="14" t="s">
        <v>882</v>
      </c>
      <c r="C64" s="14" t="s">
        <v>878</v>
      </c>
      <c r="D64" s="24" t="s">
        <v>883</v>
      </c>
      <c r="E64" s="14" t="s">
        <v>720</v>
      </c>
      <c r="F64" s="14" t="s">
        <v>884</v>
      </c>
      <c r="G64" s="24"/>
    </row>
    <row r="65" spans="1:7" x14ac:dyDescent="0.35">
      <c r="A65" s="13">
        <v>61</v>
      </c>
      <c r="B65" s="13" t="s">
        <v>724</v>
      </c>
      <c r="C65" s="13" t="s">
        <v>885</v>
      </c>
      <c r="D65" s="23" t="s">
        <v>886</v>
      </c>
      <c r="E65" s="12" t="s">
        <v>720</v>
      </c>
      <c r="F65" s="13" t="s">
        <v>887</v>
      </c>
      <c r="G65" s="23"/>
    </row>
    <row r="66" spans="1:7" x14ac:dyDescent="0.35">
      <c r="A66" s="14">
        <v>62</v>
      </c>
      <c r="B66" s="14" t="s">
        <v>724</v>
      </c>
      <c r="C66" s="14" t="s">
        <v>888</v>
      </c>
      <c r="D66" s="24" t="s">
        <v>889</v>
      </c>
      <c r="E66" s="14" t="s">
        <v>720</v>
      </c>
      <c r="F66" s="14" t="s">
        <v>890</v>
      </c>
      <c r="G66" s="24"/>
    </row>
    <row r="67" spans="1:7" ht="29" x14ac:dyDescent="0.35">
      <c r="A67" s="13">
        <v>63</v>
      </c>
      <c r="B67" s="13" t="s">
        <v>882</v>
      </c>
      <c r="C67" s="13" t="s">
        <v>888</v>
      </c>
      <c r="D67" s="23" t="s">
        <v>891</v>
      </c>
      <c r="E67" s="13" t="s">
        <v>720</v>
      </c>
      <c r="F67" s="13" t="s">
        <v>890</v>
      </c>
      <c r="G67" s="23" t="s">
        <v>892</v>
      </c>
    </row>
    <row r="68" spans="1:7" x14ac:dyDescent="0.35">
      <c r="A68" s="14">
        <v>64</v>
      </c>
      <c r="B68" s="14" t="s">
        <v>882</v>
      </c>
      <c r="C68" s="14" t="s">
        <v>893</v>
      </c>
      <c r="D68" s="24" t="s">
        <v>894</v>
      </c>
      <c r="E68" s="14" t="s">
        <v>720</v>
      </c>
      <c r="F68" s="14" t="s">
        <v>895</v>
      </c>
      <c r="G68" s="24"/>
    </row>
    <row r="69" spans="1:7" x14ac:dyDescent="0.35">
      <c r="A69" s="13">
        <v>65</v>
      </c>
      <c r="B69" s="13" t="s">
        <v>882</v>
      </c>
      <c r="C69" s="13" t="s">
        <v>896</v>
      </c>
      <c r="D69" s="23" t="s">
        <v>897</v>
      </c>
      <c r="E69" s="13" t="s">
        <v>720</v>
      </c>
      <c r="F69" s="13" t="s">
        <v>898</v>
      </c>
      <c r="G69" s="23"/>
    </row>
    <row r="70" spans="1:7" ht="29" x14ac:dyDescent="0.35">
      <c r="A70" s="14">
        <v>66</v>
      </c>
      <c r="B70" s="14" t="s">
        <v>724</v>
      </c>
      <c r="C70" s="14" t="s">
        <v>899</v>
      </c>
      <c r="D70" s="24" t="s">
        <v>900</v>
      </c>
      <c r="E70" s="12" t="s">
        <v>720</v>
      </c>
      <c r="F70" s="14" t="s">
        <v>901</v>
      </c>
      <c r="G70" s="24" t="s">
        <v>902</v>
      </c>
    </row>
    <row r="71" spans="1:7" ht="29" x14ac:dyDescent="0.35">
      <c r="A71" s="13">
        <v>67</v>
      </c>
      <c r="B71" s="13" t="s">
        <v>724</v>
      </c>
      <c r="C71" s="13" t="s">
        <v>899</v>
      </c>
      <c r="D71" s="23" t="s">
        <v>903</v>
      </c>
      <c r="E71" s="13" t="s">
        <v>720</v>
      </c>
      <c r="F71" s="13" t="s">
        <v>904</v>
      </c>
      <c r="G71" s="23"/>
    </row>
    <row r="72" spans="1:7" x14ac:dyDescent="0.35">
      <c r="A72" s="14">
        <v>68</v>
      </c>
      <c r="B72" s="14" t="s">
        <v>724</v>
      </c>
      <c r="C72" s="14" t="s">
        <v>905</v>
      </c>
      <c r="D72" s="24" t="s">
        <v>906</v>
      </c>
      <c r="E72" s="14" t="s">
        <v>720</v>
      </c>
      <c r="F72" s="14" t="s">
        <v>907</v>
      </c>
      <c r="G72" s="24"/>
    </row>
    <row r="73" spans="1:7" ht="29" x14ac:dyDescent="0.35">
      <c r="A73" s="13">
        <v>69</v>
      </c>
      <c r="B73" s="13" t="s">
        <v>724</v>
      </c>
      <c r="C73" s="13" t="s">
        <v>908</v>
      </c>
      <c r="D73" s="23" t="s">
        <v>909</v>
      </c>
      <c r="E73" s="12" t="s">
        <v>720</v>
      </c>
      <c r="F73" s="13" t="s">
        <v>910</v>
      </c>
      <c r="G73" s="23"/>
    </row>
    <row r="74" spans="1:7" ht="29" x14ac:dyDescent="0.35">
      <c r="A74" s="14">
        <v>70</v>
      </c>
      <c r="B74" s="14" t="s">
        <v>724</v>
      </c>
      <c r="C74" s="14" t="s">
        <v>908</v>
      </c>
      <c r="D74" s="24" t="s">
        <v>911</v>
      </c>
      <c r="E74" s="14" t="s">
        <v>720</v>
      </c>
      <c r="F74" s="14" t="s">
        <v>912</v>
      </c>
      <c r="G74" s="24" t="s">
        <v>913</v>
      </c>
    </row>
    <row r="75" spans="1:7" x14ac:dyDescent="0.35">
      <c r="A75" s="13">
        <v>71</v>
      </c>
      <c r="B75" s="13" t="s">
        <v>724</v>
      </c>
      <c r="C75" s="13" t="s">
        <v>914</v>
      </c>
      <c r="D75" s="23" t="s">
        <v>915</v>
      </c>
      <c r="E75" s="13" t="s">
        <v>720</v>
      </c>
      <c r="F75" s="13" t="s">
        <v>916</v>
      </c>
      <c r="G75" s="23"/>
    </row>
    <row r="76" spans="1:7" x14ac:dyDescent="0.35">
      <c r="A76" s="14">
        <v>72</v>
      </c>
      <c r="B76" s="14" t="s">
        <v>724</v>
      </c>
      <c r="C76" s="14" t="s">
        <v>917</v>
      </c>
      <c r="D76" s="24" t="s">
        <v>918</v>
      </c>
      <c r="E76" s="12" t="s">
        <v>720</v>
      </c>
      <c r="F76" s="14" t="s">
        <v>919</v>
      </c>
      <c r="G76" s="24"/>
    </row>
    <row r="77" spans="1:7" ht="29" x14ac:dyDescent="0.35">
      <c r="A77" s="13">
        <v>73</v>
      </c>
      <c r="B77" s="13" t="s">
        <v>717</v>
      </c>
      <c r="C77" s="13" t="s">
        <v>730</v>
      </c>
      <c r="D77" s="23" t="s">
        <v>920</v>
      </c>
      <c r="E77" s="13" t="s">
        <v>720</v>
      </c>
      <c r="F77" s="13" t="s">
        <v>48</v>
      </c>
      <c r="G77" s="23" t="s">
        <v>921</v>
      </c>
    </row>
    <row r="78" spans="1:7" ht="29" x14ac:dyDescent="0.35">
      <c r="A78" s="14">
        <v>74</v>
      </c>
      <c r="B78" s="14" t="s">
        <v>717</v>
      </c>
      <c r="C78" s="14" t="s">
        <v>730</v>
      </c>
      <c r="D78" s="24" t="s">
        <v>922</v>
      </c>
      <c r="E78" s="14" t="s">
        <v>720</v>
      </c>
      <c r="F78" s="14" t="s">
        <v>801</v>
      </c>
      <c r="G78" s="24" t="s">
        <v>923</v>
      </c>
    </row>
    <row r="79" spans="1:7" ht="43.5" x14ac:dyDescent="0.35">
      <c r="A79" s="13">
        <v>75</v>
      </c>
      <c r="B79" s="13" t="s">
        <v>724</v>
      </c>
      <c r="C79" s="13" t="s">
        <v>924</v>
      </c>
      <c r="D79" s="23" t="s">
        <v>925</v>
      </c>
      <c r="E79" s="13" t="s">
        <v>720</v>
      </c>
      <c r="F79" s="13" t="s">
        <v>48</v>
      </c>
      <c r="G79" s="23" t="s">
        <v>926</v>
      </c>
    </row>
  </sheetData>
  <autoFilter ref="A4:G7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0" customWidth="1"/>
    <col min="2" max="2" width="18" customWidth="1"/>
    <col min="3" max="3" width="14" customWidth="1"/>
    <col min="4" max="4" width="18" customWidth="1"/>
    <col min="5" max="5" width="14" customWidth="1"/>
    <col min="6" max="6" width="10" customWidth="1"/>
    <col min="7" max="7" width="16" customWidth="1"/>
    <col min="8" max="8" width="30" customWidth="1"/>
  </cols>
  <sheetData>
    <row r="1" spans="1:8" x14ac:dyDescent="0.35">
      <c r="A1" t="s">
        <v>927</v>
      </c>
      <c r="B1" s="6">
        <f>((COUNTIF(C5:C34,"Y")+COUNTIF(C5:C34,"P")&gt;0)+(COUNTIF(D5:D34,"Y")+COUNTIF(D5:D34,"P")&gt;0))/2*100</f>
        <v>0</v>
      </c>
    </row>
    <row r="2" spans="1:8" ht="17" x14ac:dyDescent="0.4">
      <c r="A2" s="7" t="s">
        <v>928</v>
      </c>
    </row>
    <row r="3" spans="1:8" x14ac:dyDescent="0.35">
      <c r="A3" t="s">
        <v>929</v>
      </c>
    </row>
    <row r="4" spans="1:8" ht="43.5" x14ac:dyDescent="0.35">
      <c r="A4" s="8" t="s">
        <v>33</v>
      </c>
      <c r="B4" s="8" t="s">
        <v>930</v>
      </c>
      <c r="C4" s="8" t="s">
        <v>931</v>
      </c>
      <c r="D4" s="8" t="s">
        <v>932</v>
      </c>
      <c r="E4" s="8" t="s">
        <v>933</v>
      </c>
      <c r="F4" s="8" t="s">
        <v>50</v>
      </c>
      <c r="G4" s="8" t="s">
        <v>934</v>
      </c>
      <c r="H4" s="8" t="s">
        <v>42</v>
      </c>
    </row>
    <row r="5" spans="1:8" x14ac:dyDescent="0.35">
      <c r="A5" s="9" t="s">
        <v>935</v>
      </c>
      <c r="B5" s="9" t="s">
        <v>468</v>
      </c>
      <c r="C5" s="9" t="s">
        <v>936</v>
      </c>
      <c r="D5" s="9" t="s">
        <v>936</v>
      </c>
      <c r="E5" s="9" t="s">
        <v>936</v>
      </c>
      <c r="F5" s="9" t="s">
        <v>936</v>
      </c>
      <c r="G5" s="9" t="s">
        <v>936</v>
      </c>
      <c r="H5" s="9"/>
    </row>
    <row r="6" spans="1:8" x14ac:dyDescent="0.35">
      <c r="A6" s="10" t="s">
        <v>937</v>
      </c>
      <c r="B6" s="10" t="s">
        <v>150</v>
      </c>
      <c r="C6" s="10" t="s">
        <v>936</v>
      </c>
      <c r="D6" s="10" t="s">
        <v>936</v>
      </c>
      <c r="E6" s="10" t="s">
        <v>936</v>
      </c>
      <c r="F6" s="10" t="s">
        <v>936</v>
      </c>
      <c r="G6" s="10" t="s">
        <v>936</v>
      </c>
      <c r="H6" s="10"/>
    </row>
    <row r="7" spans="1:8" x14ac:dyDescent="0.35">
      <c r="A7" s="9" t="s">
        <v>938</v>
      </c>
      <c r="B7" s="9" t="s">
        <v>150</v>
      </c>
      <c r="C7" s="9" t="s">
        <v>936</v>
      </c>
      <c r="D7" s="9" t="s">
        <v>936</v>
      </c>
      <c r="E7" s="9" t="s">
        <v>936</v>
      </c>
      <c r="F7" s="9" t="s">
        <v>936</v>
      </c>
      <c r="G7" s="9" t="s">
        <v>936</v>
      </c>
      <c r="H7" s="9"/>
    </row>
    <row r="8" spans="1:8" ht="29" x14ac:dyDescent="0.35">
      <c r="A8" s="10" t="s">
        <v>939</v>
      </c>
      <c r="B8" s="10" t="s">
        <v>50</v>
      </c>
      <c r="C8" s="10" t="s">
        <v>936</v>
      </c>
      <c r="D8" s="10" t="s">
        <v>936</v>
      </c>
      <c r="E8" s="10" t="s">
        <v>936</v>
      </c>
      <c r="F8" s="10" t="s">
        <v>936</v>
      </c>
      <c r="G8" s="10" t="s">
        <v>936</v>
      </c>
      <c r="H8" s="10"/>
    </row>
    <row r="9" spans="1:8" ht="29" x14ac:dyDescent="0.35">
      <c r="A9" s="9" t="s">
        <v>940</v>
      </c>
      <c r="B9" s="9" t="s">
        <v>50</v>
      </c>
      <c r="C9" s="9" t="s">
        <v>936</v>
      </c>
      <c r="D9" s="9" t="s">
        <v>936</v>
      </c>
      <c r="E9" s="9" t="s">
        <v>936</v>
      </c>
      <c r="F9" s="9" t="s">
        <v>936</v>
      </c>
      <c r="G9" s="9" t="s">
        <v>936</v>
      </c>
      <c r="H9" s="9"/>
    </row>
    <row r="10" spans="1:8" x14ac:dyDescent="0.35">
      <c r="A10" s="10" t="s">
        <v>941</v>
      </c>
      <c r="B10" s="10" t="s">
        <v>150</v>
      </c>
      <c r="C10" s="10" t="s">
        <v>936</v>
      </c>
      <c r="D10" s="10" t="s">
        <v>936</v>
      </c>
      <c r="E10" s="10" t="s">
        <v>936</v>
      </c>
      <c r="F10" s="10" t="s">
        <v>936</v>
      </c>
      <c r="G10" s="10" t="s">
        <v>936</v>
      </c>
      <c r="H10" s="10"/>
    </row>
    <row r="11" spans="1:8" x14ac:dyDescent="0.35">
      <c r="A11" s="9" t="s">
        <v>942</v>
      </c>
      <c r="B11" s="9" t="s">
        <v>254</v>
      </c>
      <c r="C11" s="9" t="s">
        <v>936</v>
      </c>
      <c r="D11" s="9" t="s">
        <v>936</v>
      </c>
      <c r="E11" s="9" t="s">
        <v>936</v>
      </c>
      <c r="F11" s="9" t="s">
        <v>936</v>
      </c>
      <c r="G11" s="9" t="s">
        <v>936</v>
      </c>
      <c r="H11" s="9"/>
    </row>
    <row r="12" spans="1:8" x14ac:dyDescent="0.35">
      <c r="A12" s="10" t="s">
        <v>832</v>
      </c>
      <c r="B12" s="10" t="s">
        <v>254</v>
      </c>
      <c r="C12" s="10" t="s">
        <v>936</v>
      </c>
      <c r="D12" s="10" t="s">
        <v>936</v>
      </c>
      <c r="E12" s="10" t="s">
        <v>936</v>
      </c>
      <c r="F12" s="10" t="s">
        <v>936</v>
      </c>
      <c r="G12" s="10" t="s">
        <v>936</v>
      </c>
      <c r="H12" s="10"/>
    </row>
    <row r="13" spans="1:8" x14ac:dyDescent="0.35">
      <c r="A13" s="9" t="s">
        <v>943</v>
      </c>
      <c r="B13" s="9" t="s">
        <v>254</v>
      </c>
      <c r="C13" s="9" t="s">
        <v>936</v>
      </c>
      <c r="D13" s="9" t="s">
        <v>936</v>
      </c>
      <c r="E13" s="9" t="s">
        <v>936</v>
      </c>
      <c r="F13" s="9" t="s">
        <v>936</v>
      </c>
      <c r="G13" s="9" t="s">
        <v>936</v>
      </c>
      <c r="H13" s="9"/>
    </row>
    <row r="14" spans="1:8" x14ac:dyDescent="0.35">
      <c r="A14" s="10" t="s">
        <v>944</v>
      </c>
      <c r="B14" s="10" t="s">
        <v>254</v>
      </c>
      <c r="C14" s="10" t="s">
        <v>936</v>
      </c>
      <c r="D14" s="10" t="s">
        <v>936</v>
      </c>
      <c r="E14" s="10" t="s">
        <v>936</v>
      </c>
      <c r="F14" s="10" t="s">
        <v>936</v>
      </c>
      <c r="G14" s="10" t="s">
        <v>936</v>
      </c>
      <c r="H14" s="10"/>
    </row>
    <row r="15" spans="1:8" x14ac:dyDescent="0.35">
      <c r="A15" s="9" t="s">
        <v>852</v>
      </c>
      <c r="B15" s="9" t="s">
        <v>254</v>
      </c>
      <c r="C15" s="9" t="s">
        <v>936</v>
      </c>
      <c r="D15" s="9" t="s">
        <v>936</v>
      </c>
      <c r="E15" s="9" t="s">
        <v>936</v>
      </c>
      <c r="F15" s="9" t="s">
        <v>936</v>
      </c>
      <c r="G15" s="9" t="s">
        <v>936</v>
      </c>
      <c r="H15" s="9"/>
    </row>
    <row r="16" spans="1:8" x14ac:dyDescent="0.35">
      <c r="A16" s="10" t="s">
        <v>945</v>
      </c>
      <c r="B16" s="10" t="s">
        <v>254</v>
      </c>
      <c r="C16" s="10" t="s">
        <v>936</v>
      </c>
      <c r="D16" s="10" t="s">
        <v>936</v>
      </c>
      <c r="E16" s="10" t="s">
        <v>936</v>
      </c>
      <c r="F16" s="10" t="s">
        <v>936</v>
      </c>
      <c r="G16" s="10" t="s">
        <v>936</v>
      </c>
      <c r="H16" s="10"/>
    </row>
    <row r="17" spans="1:8" x14ac:dyDescent="0.35">
      <c r="A17" s="9" t="s">
        <v>946</v>
      </c>
      <c r="B17" s="9" t="s">
        <v>368</v>
      </c>
      <c r="C17" s="9" t="s">
        <v>936</v>
      </c>
      <c r="D17" s="9" t="s">
        <v>936</v>
      </c>
      <c r="E17" s="9" t="s">
        <v>936</v>
      </c>
      <c r="F17" s="9" t="s">
        <v>936</v>
      </c>
      <c r="G17" s="9" t="s">
        <v>936</v>
      </c>
      <c r="H17" s="9"/>
    </row>
    <row r="18" spans="1:8" x14ac:dyDescent="0.35">
      <c r="A18" s="10" t="s">
        <v>947</v>
      </c>
      <c r="B18" s="10" t="s">
        <v>456</v>
      </c>
      <c r="C18" s="10" t="s">
        <v>936</v>
      </c>
      <c r="D18" s="10" t="s">
        <v>936</v>
      </c>
      <c r="E18" s="10" t="s">
        <v>936</v>
      </c>
      <c r="F18" s="10" t="s">
        <v>936</v>
      </c>
      <c r="G18" s="10" t="s">
        <v>936</v>
      </c>
      <c r="H18" s="10"/>
    </row>
    <row r="19" spans="1:8" x14ac:dyDescent="0.35">
      <c r="A19" s="9" t="s">
        <v>870</v>
      </c>
      <c r="B19" s="9" t="s">
        <v>150</v>
      </c>
      <c r="C19" s="9" t="s">
        <v>936</v>
      </c>
      <c r="D19" s="9" t="s">
        <v>936</v>
      </c>
      <c r="E19" s="9" t="s">
        <v>936</v>
      </c>
      <c r="F19" s="9" t="s">
        <v>936</v>
      </c>
      <c r="G19" s="9" t="s">
        <v>936</v>
      </c>
      <c r="H19" s="9"/>
    </row>
    <row r="20" spans="1:8" x14ac:dyDescent="0.35">
      <c r="A20" s="10" t="s">
        <v>948</v>
      </c>
      <c r="B20" s="10" t="s">
        <v>150</v>
      </c>
      <c r="C20" s="10" t="s">
        <v>936</v>
      </c>
      <c r="D20" s="10" t="s">
        <v>936</v>
      </c>
      <c r="E20" s="10" t="s">
        <v>936</v>
      </c>
      <c r="F20" s="10" t="s">
        <v>936</v>
      </c>
      <c r="G20" s="10" t="s">
        <v>936</v>
      </c>
      <c r="H20" s="10"/>
    </row>
    <row r="21" spans="1:8" x14ac:dyDescent="0.35">
      <c r="A21" s="9" t="s">
        <v>949</v>
      </c>
      <c r="B21" s="9" t="s">
        <v>150</v>
      </c>
      <c r="C21" s="9" t="s">
        <v>936</v>
      </c>
      <c r="D21" s="9" t="s">
        <v>936</v>
      </c>
      <c r="E21" s="9" t="s">
        <v>936</v>
      </c>
      <c r="F21" s="9" t="s">
        <v>936</v>
      </c>
      <c r="G21" s="9" t="s">
        <v>936</v>
      </c>
      <c r="H21" s="9"/>
    </row>
    <row r="22" spans="1:8" x14ac:dyDescent="0.35">
      <c r="A22" s="10" t="s">
        <v>950</v>
      </c>
      <c r="B22" s="10" t="s">
        <v>449</v>
      </c>
      <c r="C22" s="10" t="s">
        <v>936</v>
      </c>
      <c r="D22" s="10" t="s">
        <v>936</v>
      </c>
      <c r="E22" s="10" t="s">
        <v>936</v>
      </c>
      <c r="F22" s="10" t="s">
        <v>936</v>
      </c>
      <c r="G22" s="10" t="s">
        <v>936</v>
      </c>
      <c r="H22" s="10"/>
    </row>
    <row r="23" spans="1:8" x14ac:dyDescent="0.35">
      <c r="A23" s="9" t="s">
        <v>951</v>
      </c>
      <c r="B23" s="9" t="s">
        <v>468</v>
      </c>
      <c r="C23" s="9" t="s">
        <v>936</v>
      </c>
      <c r="D23" s="9" t="s">
        <v>936</v>
      </c>
      <c r="E23" s="9" t="s">
        <v>936</v>
      </c>
      <c r="F23" s="9" t="s">
        <v>936</v>
      </c>
      <c r="G23" s="9" t="s">
        <v>936</v>
      </c>
      <c r="H23" s="9"/>
    </row>
    <row r="24" spans="1:8" x14ac:dyDescent="0.35">
      <c r="A24" s="10" t="s">
        <v>952</v>
      </c>
      <c r="B24" s="10" t="s">
        <v>81</v>
      </c>
      <c r="C24" s="10" t="s">
        <v>936</v>
      </c>
      <c r="D24" s="10" t="s">
        <v>936</v>
      </c>
      <c r="E24" s="10" t="s">
        <v>936</v>
      </c>
      <c r="F24" s="10" t="s">
        <v>936</v>
      </c>
      <c r="G24" s="10" t="s">
        <v>936</v>
      </c>
      <c r="H24" s="10"/>
    </row>
    <row r="25" spans="1:8" x14ac:dyDescent="0.35">
      <c r="A25" s="9" t="s">
        <v>953</v>
      </c>
      <c r="B25" s="9" t="s">
        <v>81</v>
      </c>
      <c r="C25" s="9" t="s">
        <v>936</v>
      </c>
      <c r="D25" s="9" t="s">
        <v>936</v>
      </c>
      <c r="E25" s="9" t="s">
        <v>936</v>
      </c>
      <c r="F25" s="9" t="s">
        <v>936</v>
      </c>
      <c r="G25" s="9" t="s">
        <v>936</v>
      </c>
      <c r="H25" s="9"/>
    </row>
    <row r="26" spans="1:8" x14ac:dyDescent="0.35">
      <c r="A26" s="10" t="s">
        <v>954</v>
      </c>
      <c r="B26" s="10" t="s">
        <v>50</v>
      </c>
      <c r="C26" s="10" t="s">
        <v>936</v>
      </c>
      <c r="D26" s="10" t="s">
        <v>936</v>
      </c>
      <c r="E26" s="10" t="s">
        <v>936</v>
      </c>
      <c r="F26" s="10" t="s">
        <v>936</v>
      </c>
      <c r="G26" s="10" t="s">
        <v>936</v>
      </c>
      <c r="H26" s="10"/>
    </row>
    <row r="27" spans="1:8" x14ac:dyDescent="0.35">
      <c r="A27" s="9" t="s">
        <v>905</v>
      </c>
      <c r="B27" s="9" t="s">
        <v>150</v>
      </c>
      <c r="C27" s="9" t="s">
        <v>936</v>
      </c>
      <c r="D27" s="9" t="s">
        <v>936</v>
      </c>
      <c r="E27" s="9" t="s">
        <v>936</v>
      </c>
      <c r="F27" s="9" t="s">
        <v>936</v>
      </c>
      <c r="G27" s="9" t="s">
        <v>936</v>
      </c>
      <c r="H27" s="9"/>
    </row>
    <row r="28" spans="1:8" x14ac:dyDescent="0.35">
      <c r="A28" s="10" t="s">
        <v>908</v>
      </c>
      <c r="B28" s="10" t="s">
        <v>150</v>
      </c>
      <c r="C28" s="10" t="s">
        <v>936</v>
      </c>
      <c r="D28" s="10" t="s">
        <v>936</v>
      </c>
      <c r="E28" s="10" t="s">
        <v>936</v>
      </c>
      <c r="F28" s="10" t="s">
        <v>936</v>
      </c>
      <c r="G28" s="10" t="s">
        <v>936</v>
      </c>
      <c r="H28" s="10"/>
    </row>
    <row r="29" spans="1:8" x14ac:dyDescent="0.35">
      <c r="A29" s="9" t="s">
        <v>955</v>
      </c>
      <c r="B29" s="9" t="s">
        <v>533</v>
      </c>
      <c r="C29" s="9" t="s">
        <v>936</v>
      </c>
      <c r="D29" s="9" t="s">
        <v>936</v>
      </c>
      <c r="E29" s="9" t="s">
        <v>936</v>
      </c>
      <c r="F29" s="9" t="s">
        <v>936</v>
      </c>
      <c r="G29" s="9" t="s">
        <v>936</v>
      </c>
      <c r="H29" s="9"/>
    </row>
    <row r="30" spans="1:8" x14ac:dyDescent="0.35">
      <c r="A30" s="10" t="s">
        <v>956</v>
      </c>
      <c r="B30" s="10" t="s">
        <v>545</v>
      </c>
      <c r="C30" s="10" t="s">
        <v>936</v>
      </c>
      <c r="D30" s="10" t="s">
        <v>936</v>
      </c>
      <c r="E30" s="10" t="s">
        <v>936</v>
      </c>
      <c r="F30" s="10" t="s">
        <v>936</v>
      </c>
      <c r="G30" s="10" t="s">
        <v>936</v>
      </c>
      <c r="H30" s="10"/>
    </row>
    <row r="31" spans="1:8" x14ac:dyDescent="0.35">
      <c r="A31" s="9" t="s">
        <v>957</v>
      </c>
      <c r="B31" s="9" t="s">
        <v>558</v>
      </c>
      <c r="C31" s="9" t="s">
        <v>936</v>
      </c>
      <c r="D31" s="9" t="s">
        <v>936</v>
      </c>
      <c r="E31" s="9" t="s">
        <v>936</v>
      </c>
      <c r="F31" s="9" t="s">
        <v>936</v>
      </c>
      <c r="G31" s="9" t="s">
        <v>936</v>
      </c>
      <c r="H31" s="9"/>
    </row>
    <row r="32" spans="1:8" x14ac:dyDescent="0.35">
      <c r="A32" s="10" t="s">
        <v>958</v>
      </c>
      <c r="B32" s="10" t="s">
        <v>468</v>
      </c>
      <c r="C32" s="10" t="s">
        <v>936</v>
      </c>
      <c r="D32" s="10" t="s">
        <v>936</v>
      </c>
      <c r="E32" s="10" t="s">
        <v>936</v>
      </c>
      <c r="F32" s="10" t="s">
        <v>936</v>
      </c>
      <c r="G32" s="10" t="s">
        <v>936</v>
      </c>
      <c r="H32" s="10"/>
    </row>
    <row r="33" spans="1:8" x14ac:dyDescent="0.35">
      <c r="A33" s="9" t="s">
        <v>959</v>
      </c>
      <c r="B33" s="9" t="s">
        <v>468</v>
      </c>
      <c r="C33" s="9" t="s">
        <v>936</v>
      </c>
      <c r="D33" s="9" t="s">
        <v>936</v>
      </c>
      <c r="E33" s="9" t="s">
        <v>936</v>
      </c>
      <c r="F33" s="9" t="s">
        <v>936</v>
      </c>
      <c r="G33" s="9" t="s">
        <v>936</v>
      </c>
      <c r="H33" s="9"/>
    </row>
    <row r="34" spans="1:8" x14ac:dyDescent="0.35">
      <c r="A34" s="10" t="s">
        <v>960</v>
      </c>
      <c r="B34" s="10" t="s">
        <v>468</v>
      </c>
      <c r="C34" s="10" t="s">
        <v>936</v>
      </c>
      <c r="D34" s="10" t="s">
        <v>936</v>
      </c>
      <c r="E34" s="10" t="s">
        <v>936</v>
      </c>
      <c r="F34" s="10" t="s">
        <v>936</v>
      </c>
      <c r="G34" s="10" t="s">
        <v>936</v>
      </c>
      <c r="H34" s="1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4"/>
  <sheetViews>
    <sheetView workbookViewId="0">
      <pane ySplit="4" topLeftCell="A5" activePane="bottomLeft" state="frozen"/>
      <selection pane="bottomLeft" activeCell="C79" sqref="C79"/>
    </sheetView>
  </sheetViews>
  <sheetFormatPr defaultRowHeight="14.5" x14ac:dyDescent="0.35"/>
  <cols>
    <col min="1" max="1" width="5" style="11" customWidth="1"/>
    <col min="2" max="2" width="14.1796875" style="11" bestFit="1" customWidth="1"/>
    <col min="3" max="3" width="41.90625" style="22" customWidth="1"/>
    <col min="4" max="4" width="60.08984375" style="22" bestFit="1" customWidth="1"/>
    <col min="5" max="5" width="10.6328125" style="15" bestFit="1" customWidth="1"/>
    <col min="6" max="16384" width="8.7265625" style="22"/>
  </cols>
  <sheetData>
    <row r="1" spans="1:5" x14ac:dyDescent="0.35">
      <c r="A1" s="25" t="s">
        <v>961</v>
      </c>
      <c r="B1" s="26">
        <f>COUNTIF(E5:E104,"Done")</f>
        <v>78</v>
      </c>
      <c r="C1" s="22" t="s">
        <v>962</v>
      </c>
    </row>
    <row r="2" spans="1:5" ht="17" x14ac:dyDescent="0.35">
      <c r="A2" s="27" t="s">
        <v>963</v>
      </c>
    </row>
    <row r="3" spans="1:5" x14ac:dyDescent="0.35">
      <c r="A3" s="25" t="s">
        <v>964</v>
      </c>
    </row>
    <row r="4" spans="1:5" x14ac:dyDescent="0.35">
      <c r="A4" s="8" t="s">
        <v>31</v>
      </c>
      <c r="B4" s="8" t="s">
        <v>965</v>
      </c>
      <c r="C4" s="8" t="s">
        <v>966</v>
      </c>
      <c r="D4" s="8" t="s">
        <v>967</v>
      </c>
      <c r="E4" s="16" t="s">
        <v>41</v>
      </c>
    </row>
    <row r="5" spans="1:5" ht="43.5" x14ac:dyDescent="0.35">
      <c r="A5" s="13">
        <v>1</v>
      </c>
      <c r="B5" s="13" t="s">
        <v>730</v>
      </c>
      <c r="C5" s="23" t="s">
        <v>968</v>
      </c>
      <c r="D5" s="23" t="s">
        <v>969</v>
      </c>
      <c r="E5" s="17" t="s">
        <v>51</v>
      </c>
    </row>
    <row r="6" spans="1:5" ht="29" x14ac:dyDescent="0.35">
      <c r="A6" s="14">
        <v>2</v>
      </c>
      <c r="B6" s="14" t="s">
        <v>730</v>
      </c>
      <c r="C6" s="24" t="s">
        <v>970</v>
      </c>
      <c r="D6" s="24" t="s">
        <v>971</v>
      </c>
      <c r="E6" s="18" t="s">
        <v>63</v>
      </c>
    </row>
    <row r="7" spans="1:5" ht="29" x14ac:dyDescent="0.35">
      <c r="A7" s="13">
        <v>3</v>
      </c>
      <c r="B7" s="13" t="s">
        <v>730</v>
      </c>
      <c r="C7" s="23" t="s">
        <v>972</v>
      </c>
      <c r="D7" s="23" t="s">
        <v>973</v>
      </c>
      <c r="E7" s="17" t="s">
        <v>51</v>
      </c>
    </row>
    <row r="8" spans="1:5" ht="29" x14ac:dyDescent="0.35">
      <c r="A8" s="14">
        <v>4</v>
      </c>
      <c r="B8" s="14" t="s">
        <v>730</v>
      </c>
      <c r="C8" s="24" t="s">
        <v>974</v>
      </c>
      <c r="D8" s="24" t="s">
        <v>975</v>
      </c>
      <c r="E8" s="17" t="s">
        <v>51</v>
      </c>
    </row>
    <row r="9" spans="1:5" ht="43.5" x14ac:dyDescent="0.35">
      <c r="A9" s="13">
        <v>5</v>
      </c>
      <c r="B9" s="13" t="s">
        <v>730</v>
      </c>
      <c r="C9" s="23" t="s">
        <v>976</v>
      </c>
      <c r="D9" s="23" t="s">
        <v>977</v>
      </c>
      <c r="E9" s="17" t="s">
        <v>51</v>
      </c>
    </row>
    <row r="10" spans="1:5" ht="29" x14ac:dyDescent="0.35">
      <c r="A10" s="14">
        <v>6</v>
      </c>
      <c r="B10" s="14" t="s">
        <v>730</v>
      </c>
      <c r="C10" s="24" t="s">
        <v>978</v>
      </c>
      <c r="D10" s="24" t="s">
        <v>979</v>
      </c>
      <c r="E10" s="17" t="s">
        <v>51</v>
      </c>
    </row>
    <row r="11" spans="1:5" ht="29" x14ac:dyDescent="0.35">
      <c r="A11" s="13">
        <v>7</v>
      </c>
      <c r="B11" s="13" t="s">
        <v>730</v>
      </c>
      <c r="C11" s="23" t="s">
        <v>980</v>
      </c>
      <c r="D11" s="23" t="s">
        <v>981</v>
      </c>
      <c r="E11" s="17" t="s">
        <v>51</v>
      </c>
    </row>
    <row r="12" spans="1:5" ht="43.5" x14ac:dyDescent="0.35">
      <c r="A12" s="14">
        <v>8</v>
      </c>
      <c r="B12" s="14" t="s">
        <v>730</v>
      </c>
      <c r="C12" s="24" t="s">
        <v>982</v>
      </c>
      <c r="D12" s="24" t="s">
        <v>983</v>
      </c>
      <c r="E12" s="17" t="s">
        <v>51</v>
      </c>
    </row>
    <row r="13" spans="1:5" ht="29" x14ac:dyDescent="0.35">
      <c r="A13" s="13">
        <v>9</v>
      </c>
      <c r="B13" s="13" t="s">
        <v>718</v>
      </c>
      <c r="C13" s="23" t="s">
        <v>984</v>
      </c>
      <c r="D13" s="23" t="s">
        <v>985</v>
      </c>
      <c r="E13" s="18" t="s">
        <v>63</v>
      </c>
    </row>
    <row r="14" spans="1:5" ht="29" x14ac:dyDescent="0.35">
      <c r="A14" s="14">
        <v>10</v>
      </c>
      <c r="B14" s="14" t="s">
        <v>718</v>
      </c>
      <c r="C14" s="24" t="s">
        <v>986</v>
      </c>
      <c r="D14" s="24" t="s">
        <v>987</v>
      </c>
      <c r="E14" s="18" t="s">
        <v>63</v>
      </c>
    </row>
    <row r="15" spans="1:5" ht="29" x14ac:dyDescent="0.35">
      <c r="A15" s="13">
        <v>11</v>
      </c>
      <c r="B15" s="13" t="s">
        <v>718</v>
      </c>
      <c r="C15" s="23" t="s">
        <v>988</v>
      </c>
      <c r="D15" s="23" t="s">
        <v>989</v>
      </c>
      <c r="E15" s="18" t="s">
        <v>63</v>
      </c>
    </row>
    <row r="16" spans="1:5" ht="29" x14ac:dyDescent="0.35">
      <c r="A16" s="14">
        <v>12</v>
      </c>
      <c r="B16" s="14" t="s">
        <v>718</v>
      </c>
      <c r="C16" s="24" t="s">
        <v>990</v>
      </c>
      <c r="D16" s="24" t="s">
        <v>991</v>
      </c>
      <c r="E16" s="18" t="s">
        <v>63</v>
      </c>
    </row>
    <row r="17" spans="1:5" ht="43.5" x14ac:dyDescent="0.35">
      <c r="A17" s="13">
        <v>13</v>
      </c>
      <c r="B17" s="13" t="s">
        <v>718</v>
      </c>
      <c r="C17" s="23" t="s">
        <v>992</v>
      </c>
      <c r="D17" s="23" t="s">
        <v>993</v>
      </c>
      <c r="E17" s="18" t="s">
        <v>63</v>
      </c>
    </row>
    <row r="18" spans="1:5" ht="29" x14ac:dyDescent="0.35">
      <c r="A18" s="14">
        <v>14</v>
      </c>
      <c r="B18" s="14" t="s">
        <v>718</v>
      </c>
      <c r="C18" s="24" t="s">
        <v>994</v>
      </c>
      <c r="D18" s="24" t="s">
        <v>995</v>
      </c>
      <c r="E18" s="18" t="s">
        <v>63</v>
      </c>
    </row>
    <row r="19" spans="1:5" ht="29" x14ac:dyDescent="0.35">
      <c r="A19" s="13">
        <v>15</v>
      </c>
      <c r="B19" s="13" t="s">
        <v>50</v>
      </c>
      <c r="C19" s="23" t="s">
        <v>996</v>
      </c>
      <c r="D19" s="23" t="s">
        <v>997</v>
      </c>
      <c r="E19" s="18" t="s">
        <v>63</v>
      </c>
    </row>
    <row r="20" spans="1:5" ht="29" x14ac:dyDescent="0.35">
      <c r="A20" s="14">
        <v>16</v>
      </c>
      <c r="B20" s="14" t="s">
        <v>50</v>
      </c>
      <c r="C20" s="24" t="s">
        <v>998</v>
      </c>
      <c r="D20" s="24" t="s">
        <v>999</v>
      </c>
      <c r="E20" s="18" t="s">
        <v>63</v>
      </c>
    </row>
    <row r="21" spans="1:5" ht="29" x14ac:dyDescent="0.35">
      <c r="A21" s="13">
        <v>17</v>
      </c>
      <c r="B21" s="13" t="s">
        <v>50</v>
      </c>
      <c r="C21" s="23" t="s">
        <v>1000</v>
      </c>
      <c r="D21" s="23" t="s">
        <v>1001</v>
      </c>
      <c r="E21" s="18" t="s">
        <v>63</v>
      </c>
    </row>
    <row r="22" spans="1:5" ht="29" x14ac:dyDescent="0.35">
      <c r="A22" s="14">
        <v>18</v>
      </c>
      <c r="B22" s="14" t="s">
        <v>50</v>
      </c>
      <c r="C22" s="24" t="s">
        <v>1002</v>
      </c>
      <c r="D22" s="24" t="s">
        <v>1003</v>
      </c>
      <c r="E22" s="18" t="s">
        <v>63</v>
      </c>
    </row>
    <row r="23" spans="1:5" ht="29" x14ac:dyDescent="0.35">
      <c r="A23" s="13">
        <v>19</v>
      </c>
      <c r="B23" s="13" t="s">
        <v>50</v>
      </c>
      <c r="C23" s="23" t="s">
        <v>1004</v>
      </c>
      <c r="D23" s="23" t="s">
        <v>1005</v>
      </c>
      <c r="E23" s="18" t="s">
        <v>63</v>
      </c>
    </row>
    <row r="24" spans="1:5" ht="29" x14ac:dyDescent="0.35">
      <c r="A24" s="14">
        <v>20</v>
      </c>
      <c r="B24" s="14" t="s">
        <v>50</v>
      </c>
      <c r="C24" s="24" t="s">
        <v>1006</v>
      </c>
      <c r="D24" s="24" t="s">
        <v>1007</v>
      </c>
      <c r="E24" s="18" t="s">
        <v>63</v>
      </c>
    </row>
    <row r="25" spans="1:5" ht="29" x14ac:dyDescent="0.35">
      <c r="A25" s="13">
        <v>21</v>
      </c>
      <c r="B25" s="13" t="s">
        <v>50</v>
      </c>
      <c r="C25" s="23" t="s">
        <v>1008</v>
      </c>
      <c r="D25" s="23" t="s">
        <v>1009</v>
      </c>
      <c r="E25" s="18" t="s">
        <v>63</v>
      </c>
    </row>
    <row r="26" spans="1:5" ht="29" x14ac:dyDescent="0.35">
      <c r="A26" s="14">
        <v>22</v>
      </c>
      <c r="B26" s="14" t="s">
        <v>50</v>
      </c>
      <c r="C26" s="24" t="s">
        <v>1010</v>
      </c>
      <c r="D26" s="24" t="s">
        <v>1011</v>
      </c>
      <c r="E26" s="18" t="s">
        <v>63</v>
      </c>
    </row>
    <row r="27" spans="1:5" ht="29" x14ac:dyDescent="0.35">
      <c r="A27" s="13">
        <v>23</v>
      </c>
      <c r="B27" s="13" t="s">
        <v>793</v>
      </c>
      <c r="C27" s="23" t="s">
        <v>1012</v>
      </c>
      <c r="D27" s="23" t="s">
        <v>1013</v>
      </c>
      <c r="E27" s="18" t="s">
        <v>63</v>
      </c>
    </row>
    <row r="28" spans="1:5" ht="29" x14ac:dyDescent="0.35">
      <c r="A28" s="14">
        <v>24</v>
      </c>
      <c r="B28" s="14" t="s">
        <v>793</v>
      </c>
      <c r="C28" s="24" t="s">
        <v>1014</v>
      </c>
      <c r="D28" s="24" t="s">
        <v>1015</v>
      </c>
      <c r="E28" s="18" t="s">
        <v>63</v>
      </c>
    </row>
    <row r="29" spans="1:5" ht="29" x14ac:dyDescent="0.35">
      <c r="A29" s="13">
        <v>25</v>
      </c>
      <c r="B29" s="13" t="s">
        <v>793</v>
      </c>
      <c r="C29" s="23" t="s">
        <v>1016</v>
      </c>
      <c r="D29" s="23" t="s">
        <v>1017</v>
      </c>
      <c r="E29" s="18" t="s">
        <v>63</v>
      </c>
    </row>
    <row r="30" spans="1:5" ht="29" x14ac:dyDescent="0.35">
      <c r="A30" s="14">
        <v>26</v>
      </c>
      <c r="B30" s="14" t="s">
        <v>793</v>
      </c>
      <c r="C30" s="24" t="s">
        <v>1018</v>
      </c>
      <c r="D30" s="24" t="s">
        <v>1019</v>
      </c>
      <c r="E30" s="18" t="s">
        <v>63</v>
      </c>
    </row>
    <row r="31" spans="1:5" ht="29" x14ac:dyDescent="0.35">
      <c r="A31" s="13">
        <v>27</v>
      </c>
      <c r="B31" s="13" t="s">
        <v>793</v>
      </c>
      <c r="C31" s="23" t="s">
        <v>1020</v>
      </c>
      <c r="D31" s="23" t="s">
        <v>1021</v>
      </c>
      <c r="E31" s="18" t="s">
        <v>63</v>
      </c>
    </row>
    <row r="32" spans="1:5" ht="29" x14ac:dyDescent="0.35">
      <c r="A32" s="14">
        <v>28</v>
      </c>
      <c r="B32" s="14" t="s">
        <v>793</v>
      </c>
      <c r="C32" s="24" t="s">
        <v>1022</v>
      </c>
      <c r="D32" s="24" t="s">
        <v>1023</v>
      </c>
      <c r="E32" s="18" t="s">
        <v>63</v>
      </c>
    </row>
    <row r="33" spans="1:5" ht="29" x14ac:dyDescent="0.35">
      <c r="A33" s="13">
        <v>29</v>
      </c>
      <c r="B33" s="13" t="s">
        <v>816</v>
      </c>
      <c r="C33" s="23" t="s">
        <v>1024</v>
      </c>
      <c r="D33" s="23" t="s">
        <v>1025</v>
      </c>
      <c r="E33" s="17" t="s">
        <v>51</v>
      </c>
    </row>
    <row r="34" spans="1:5" ht="29" x14ac:dyDescent="0.35">
      <c r="A34" s="14">
        <v>30</v>
      </c>
      <c r="B34" s="14" t="s">
        <v>816</v>
      </c>
      <c r="C34" s="24" t="s">
        <v>1026</v>
      </c>
      <c r="D34" s="24" t="s">
        <v>1027</v>
      </c>
      <c r="E34" s="17" t="s">
        <v>51</v>
      </c>
    </row>
    <row r="35" spans="1:5" ht="29" x14ac:dyDescent="0.35">
      <c r="A35" s="13">
        <v>31</v>
      </c>
      <c r="B35" s="13" t="s">
        <v>816</v>
      </c>
      <c r="C35" s="23" t="s">
        <v>1028</v>
      </c>
      <c r="D35" s="23" t="s">
        <v>1029</v>
      </c>
      <c r="E35" s="17" t="s">
        <v>51</v>
      </c>
    </row>
    <row r="36" spans="1:5" ht="29" x14ac:dyDescent="0.35">
      <c r="A36" s="14">
        <v>32</v>
      </c>
      <c r="B36" s="14" t="s">
        <v>816</v>
      </c>
      <c r="C36" s="24" t="s">
        <v>1030</v>
      </c>
      <c r="D36" s="24" t="s">
        <v>1031</v>
      </c>
      <c r="E36" s="17" t="s">
        <v>51</v>
      </c>
    </row>
    <row r="37" spans="1:5" ht="29" x14ac:dyDescent="0.35">
      <c r="A37" s="13">
        <v>33</v>
      </c>
      <c r="B37" s="13" t="s">
        <v>816</v>
      </c>
      <c r="C37" s="23" t="s">
        <v>1032</v>
      </c>
      <c r="D37" s="23" t="s">
        <v>1033</v>
      </c>
      <c r="E37" s="17" t="s">
        <v>51</v>
      </c>
    </row>
    <row r="38" spans="1:5" ht="29" x14ac:dyDescent="0.35">
      <c r="A38" s="14">
        <v>34</v>
      </c>
      <c r="B38" s="14" t="s">
        <v>816</v>
      </c>
      <c r="C38" s="24" t="s">
        <v>1034</v>
      </c>
      <c r="D38" s="24" t="s">
        <v>1035</v>
      </c>
      <c r="E38" s="17" t="s">
        <v>51</v>
      </c>
    </row>
    <row r="39" spans="1:5" ht="29" x14ac:dyDescent="0.35">
      <c r="A39" s="13">
        <v>35</v>
      </c>
      <c r="B39" s="13" t="s">
        <v>816</v>
      </c>
      <c r="C39" s="23" t="s">
        <v>1036</v>
      </c>
      <c r="D39" s="23" t="s">
        <v>1037</v>
      </c>
      <c r="E39" s="17" t="s">
        <v>51</v>
      </c>
    </row>
    <row r="40" spans="1:5" ht="29" x14ac:dyDescent="0.35">
      <c r="A40" s="14">
        <v>36</v>
      </c>
      <c r="B40" s="14" t="s">
        <v>816</v>
      </c>
      <c r="C40" s="24" t="s">
        <v>1038</v>
      </c>
      <c r="D40" s="24" t="s">
        <v>1039</v>
      </c>
      <c r="E40" s="17" t="s">
        <v>51</v>
      </c>
    </row>
    <row r="41" spans="1:5" ht="29" x14ac:dyDescent="0.35">
      <c r="A41" s="13">
        <v>37</v>
      </c>
      <c r="B41" s="13" t="s">
        <v>254</v>
      </c>
      <c r="C41" s="23" t="s">
        <v>1040</v>
      </c>
      <c r="D41" s="23" t="s">
        <v>1041</v>
      </c>
      <c r="E41" s="17" t="s">
        <v>51</v>
      </c>
    </row>
    <row r="42" spans="1:5" ht="29" x14ac:dyDescent="0.35">
      <c r="A42" s="14">
        <v>38</v>
      </c>
      <c r="B42" s="14" t="s">
        <v>254</v>
      </c>
      <c r="C42" s="24" t="s">
        <v>1042</v>
      </c>
      <c r="D42" s="24" t="s">
        <v>1043</v>
      </c>
      <c r="E42" s="17" t="s">
        <v>51</v>
      </c>
    </row>
    <row r="43" spans="1:5" ht="29" x14ac:dyDescent="0.35">
      <c r="A43" s="13">
        <v>39</v>
      </c>
      <c r="B43" s="13" t="s">
        <v>832</v>
      </c>
      <c r="C43" s="23" t="s">
        <v>1044</v>
      </c>
      <c r="D43" s="23" t="s">
        <v>1045</v>
      </c>
      <c r="E43" s="17" t="s">
        <v>51</v>
      </c>
    </row>
    <row r="44" spans="1:5" ht="29" x14ac:dyDescent="0.35">
      <c r="A44" s="14">
        <v>40</v>
      </c>
      <c r="B44" s="14" t="s">
        <v>832</v>
      </c>
      <c r="C44" s="24" t="s">
        <v>1046</v>
      </c>
      <c r="D44" s="24" t="s">
        <v>1047</v>
      </c>
      <c r="E44" s="17" t="s">
        <v>51</v>
      </c>
    </row>
    <row r="45" spans="1:5" ht="29" x14ac:dyDescent="0.35">
      <c r="A45" s="13">
        <v>41</v>
      </c>
      <c r="B45" s="13" t="s">
        <v>832</v>
      </c>
      <c r="C45" s="23" t="s">
        <v>1048</v>
      </c>
      <c r="D45" s="23" t="s">
        <v>1049</v>
      </c>
      <c r="E45" s="17" t="s">
        <v>51</v>
      </c>
    </row>
    <row r="46" spans="1:5" ht="29" x14ac:dyDescent="0.35">
      <c r="A46" s="14">
        <v>42</v>
      </c>
      <c r="B46" s="14" t="s">
        <v>832</v>
      </c>
      <c r="C46" s="24" t="s">
        <v>1050</v>
      </c>
      <c r="D46" s="24" t="s">
        <v>1051</v>
      </c>
      <c r="E46" s="17" t="s">
        <v>51</v>
      </c>
    </row>
    <row r="47" spans="1:5" ht="29" x14ac:dyDescent="0.35">
      <c r="A47" s="13">
        <v>43</v>
      </c>
      <c r="B47" s="13" t="s">
        <v>840</v>
      </c>
      <c r="C47" s="23" t="s">
        <v>1052</v>
      </c>
      <c r="D47" s="23" t="s">
        <v>1053</v>
      </c>
      <c r="E47" s="17" t="s">
        <v>51</v>
      </c>
    </row>
    <row r="48" spans="1:5" ht="29" x14ac:dyDescent="0.35">
      <c r="A48" s="14">
        <v>44</v>
      </c>
      <c r="B48" s="14" t="s">
        <v>840</v>
      </c>
      <c r="C48" s="24" t="s">
        <v>1054</v>
      </c>
      <c r="D48" s="24" t="s">
        <v>1055</v>
      </c>
      <c r="E48" s="17" t="s">
        <v>51</v>
      </c>
    </row>
    <row r="49" spans="1:5" ht="29" x14ac:dyDescent="0.35">
      <c r="A49" s="13">
        <v>45</v>
      </c>
      <c r="B49" s="13" t="s">
        <v>840</v>
      </c>
      <c r="C49" s="23" t="s">
        <v>1056</v>
      </c>
      <c r="D49" s="23" t="s">
        <v>1057</v>
      </c>
      <c r="E49" s="17" t="s">
        <v>51</v>
      </c>
    </row>
    <row r="50" spans="1:5" ht="29" x14ac:dyDescent="0.35">
      <c r="A50" s="14">
        <v>46</v>
      </c>
      <c r="B50" s="14" t="s">
        <v>849</v>
      </c>
      <c r="C50" s="24" t="s">
        <v>1058</v>
      </c>
      <c r="D50" s="24" t="s">
        <v>1059</v>
      </c>
      <c r="E50" s="17" t="s">
        <v>51</v>
      </c>
    </row>
    <row r="51" spans="1:5" ht="29" x14ac:dyDescent="0.35">
      <c r="A51" s="13">
        <v>47</v>
      </c>
      <c r="B51" s="13" t="s">
        <v>849</v>
      </c>
      <c r="C51" s="23" t="s">
        <v>1060</v>
      </c>
      <c r="D51" s="23" t="s">
        <v>1061</v>
      </c>
      <c r="E51" s="17" t="s">
        <v>51</v>
      </c>
    </row>
    <row r="52" spans="1:5" ht="29" x14ac:dyDescent="0.35">
      <c r="A52" s="14">
        <v>48</v>
      </c>
      <c r="B52" s="14" t="s">
        <v>852</v>
      </c>
      <c r="C52" s="24" t="s">
        <v>1062</v>
      </c>
      <c r="D52" s="24" t="s">
        <v>1063</v>
      </c>
      <c r="E52" s="17" t="s">
        <v>51</v>
      </c>
    </row>
    <row r="53" spans="1:5" ht="29" x14ac:dyDescent="0.35">
      <c r="A53" s="13">
        <v>49</v>
      </c>
      <c r="B53" s="13" t="s">
        <v>858</v>
      </c>
      <c r="C53" s="23" t="s">
        <v>1064</v>
      </c>
      <c r="D53" s="23" t="s">
        <v>1065</v>
      </c>
      <c r="E53" s="17" t="s">
        <v>51</v>
      </c>
    </row>
    <row r="54" spans="1:5" ht="29" x14ac:dyDescent="0.35">
      <c r="A54" s="14">
        <v>50</v>
      </c>
      <c r="B54" s="14" t="s">
        <v>858</v>
      </c>
      <c r="C54" s="24" t="s">
        <v>1066</v>
      </c>
      <c r="D54" s="24" t="s">
        <v>1067</v>
      </c>
      <c r="E54" s="17" t="s">
        <v>51</v>
      </c>
    </row>
    <row r="55" spans="1:5" ht="29" x14ac:dyDescent="0.35">
      <c r="A55" s="13">
        <v>51</v>
      </c>
      <c r="B55" s="13" t="s">
        <v>858</v>
      </c>
      <c r="C55" s="23" t="s">
        <v>1068</v>
      </c>
      <c r="D55" s="23" t="s">
        <v>1069</v>
      </c>
      <c r="E55" s="17" t="s">
        <v>51</v>
      </c>
    </row>
    <row r="56" spans="1:5" ht="29" x14ac:dyDescent="0.35">
      <c r="A56" s="14">
        <v>52</v>
      </c>
      <c r="B56" s="14" t="s">
        <v>858</v>
      </c>
      <c r="C56" s="24" t="s">
        <v>1070</v>
      </c>
      <c r="D56" s="24" t="s">
        <v>1071</v>
      </c>
      <c r="E56" s="17" t="s">
        <v>51</v>
      </c>
    </row>
    <row r="57" spans="1:5" x14ac:dyDescent="0.35">
      <c r="A57" s="13">
        <v>53</v>
      </c>
      <c r="B57" s="13" t="s">
        <v>858</v>
      </c>
      <c r="C57" s="23" t="s">
        <v>1072</v>
      </c>
      <c r="D57" s="23" t="s">
        <v>1073</v>
      </c>
      <c r="E57" s="17" t="s">
        <v>51</v>
      </c>
    </row>
    <row r="58" spans="1:5" ht="29" x14ac:dyDescent="0.35">
      <c r="A58" s="14">
        <v>54</v>
      </c>
      <c r="B58" s="14" t="s">
        <v>855</v>
      </c>
      <c r="C58" s="24" t="s">
        <v>1074</v>
      </c>
      <c r="D58" s="24" t="s">
        <v>1075</v>
      </c>
      <c r="E58" s="17" t="s">
        <v>51</v>
      </c>
    </row>
    <row r="59" spans="1:5" ht="29" x14ac:dyDescent="0.35">
      <c r="A59" s="13">
        <v>55</v>
      </c>
      <c r="B59" s="13" t="s">
        <v>855</v>
      </c>
      <c r="C59" s="23" t="s">
        <v>1076</v>
      </c>
      <c r="D59" s="23" t="s">
        <v>1077</v>
      </c>
      <c r="E59" s="17" t="s">
        <v>51</v>
      </c>
    </row>
    <row r="60" spans="1:5" ht="29" x14ac:dyDescent="0.35">
      <c r="A60" s="14">
        <v>56</v>
      </c>
      <c r="B60" s="14" t="s">
        <v>870</v>
      </c>
      <c r="C60" s="24" t="s">
        <v>1078</v>
      </c>
      <c r="D60" s="24" t="s">
        <v>1079</v>
      </c>
      <c r="E60" s="17" t="s">
        <v>51</v>
      </c>
    </row>
    <row r="61" spans="1:5" ht="29" x14ac:dyDescent="0.35">
      <c r="A61" s="13">
        <v>57</v>
      </c>
      <c r="B61" s="13" t="s">
        <v>870</v>
      </c>
      <c r="C61" s="23" t="s">
        <v>1080</v>
      </c>
      <c r="D61" s="23" t="s">
        <v>1081</v>
      </c>
      <c r="E61" s="17" t="s">
        <v>51</v>
      </c>
    </row>
    <row r="62" spans="1:5" ht="29" x14ac:dyDescent="0.35">
      <c r="A62" s="14">
        <v>58</v>
      </c>
      <c r="B62" s="14" t="s">
        <v>875</v>
      </c>
      <c r="C62" s="24" t="s">
        <v>1082</v>
      </c>
      <c r="D62" s="24" t="s">
        <v>1083</v>
      </c>
      <c r="E62" s="17" t="s">
        <v>51</v>
      </c>
    </row>
    <row r="63" spans="1:5" ht="29" x14ac:dyDescent="0.35">
      <c r="A63" s="13">
        <v>59</v>
      </c>
      <c r="B63" s="13" t="s">
        <v>875</v>
      </c>
      <c r="C63" s="23" t="s">
        <v>1084</v>
      </c>
      <c r="D63" s="23" t="s">
        <v>1085</v>
      </c>
      <c r="E63" s="17" t="s">
        <v>51</v>
      </c>
    </row>
    <row r="64" spans="1:5" ht="29" x14ac:dyDescent="0.35">
      <c r="A64" s="14">
        <v>60</v>
      </c>
      <c r="B64" s="14" t="s">
        <v>878</v>
      </c>
      <c r="C64" s="24" t="s">
        <v>1086</v>
      </c>
      <c r="D64" s="24" t="s">
        <v>1087</v>
      </c>
      <c r="E64" s="17" t="s">
        <v>51</v>
      </c>
    </row>
    <row r="65" spans="1:5" ht="29" x14ac:dyDescent="0.35">
      <c r="A65" s="13">
        <v>61</v>
      </c>
      <c r="B65" s="13" t="s">
        <v>878</v>
      </c>
      <c r="C65" s="23" t="s">
        <v>1088</v>
      </c>
      <c r="D65" s="23" t="s">
        <v>1089</v>
      </c>
      <c r="E65" s="17" t="s">
        <v>51</v>
      </c>
    </row>
    <row r="66" spans="1:5" ht="29" x14ac:dyDescent="0.35">
      <c r="A66" s="14">
        <v>62</v>
      </c>
      <c r="B66" s="14" t="s">
        <v>878</v>
      </c>
      <c r="C66" s="24" t="s">
        <v>1090</v>
      </c>
      <c r="D66" s="24" t="s">
        <v>1091</v>
      </c>
      <c r="E66" s="17" t="s">
        <v>51</v>
      </c>
    </row>
    <row r="67" spans="1:5" ht="29" x14ac:dyDescent="0.35">
      <c r="A67" s="13">
        <v>63</v>
      </c>
      <c r="B67" s="13" t="s">
        <v>885</v>
      </c>
      <c r="C67" s="23" t="s">
        <v>1092</v>
      </c>
      <c r="D67" s="23" t="s">
        <v>1093</v>
      </c>
      <c r="E67" s="17" t="s">
        <v>51</v>
      </c>
    </row>
    <row r="68" spans="1:5" ht="29" x14ac:dyDescent="0.35">
      <c r="A68" s="14">
        <v>64</v>
      </c>
      <c r="B68" s="14" t="s">
        <v>885</v>
      </c>
      <c r="C68" s="24" t="s">
        <v>1094</v>
      </c>
      <c r="D68" s="24" t="s">
        <v>1095</v>
      </c>
      <c r="E68" s="17" t="s">
        <v>51</v>
      </c>
    </row>
    <row r="69" spans="1:5" ht="29" x14ac:dyDescent="0.35">
      <c r="A69" s="13">
        <v>65</v>
      </c>
      <c r="B69" s="13" t="s">
        <v>888</v>
      </c>
      <c r="C69" s="23" t="s">
        <v>1096</v>
      </c>
      <c r="D69" s="23" t="s">
        <v>1097</v>
      </c>
      <c r="E69" s="17" t="s">
        <v>51</v>
      </c>
    </row>
    <row r="70" spans="1:5" ht="29" x14ac:dyDescent="0.35">
      <c r="A70" s="14">
        <v>66</v>
      </c>
      <c r="B70" s="14" t="s">
        <v>888</v>
      </c>
      <c r="C70" s="24" t="s">
        <v>1098</v>
      </c>
      <c r="D70" s="24" t="s">
        <v>1099</v>
      </c>
      <c r="E70" s="17" t="s">
        <v>51</v>
      </c>
    </row>
    <row r="71" spans="1:5" ht="29" x14ac:dyDescent="0.35">
      <c r="A71" s="13">
        <v>67</v>
      </c>
      <c r="B71" s="13" t="s">
        <v>905</v>
      </c>
      <c r="C71" s="23" t="s">
        <v>1100</v>
      </c>
      <c r="D71" s="23" t="s">
        <v>1101</v>
      </c>
      <c r="E71" s="17" t="s">
        <v>51</v>
      </c>
    </row>
    <row r="72" spans="1:5" ht="29" x14ac:dyDescent="0.35">
      <c r="A72" s="14">
        <v>68</v>
      </c>
      <c r="B72" s="14" t="s">
        <v>908</v>
      </c>
      <c r="C72" s="24" t="s">
        <v>1102</v>
      </c>
      <c r="D72" s="24" t="s">
        <v>1103</v>
      </c>
      <c r="E72" s="17" t="s">
        <v>51</v>
      </c>
    </row>
    <row r="73" spans="1:5" ht="29" x14ac:dyDescent="0.35">
      <c r="A73" s="13">
        <v>69</v>
      </c>
      <c r="B73" s="13" t="s">
        <v>908</v>
      </c>
      <c r="C73" s="23" t="s">
        <v>1104</v>
      </c>
      <c r="D73" s="23" t="s">
        <v>1105</v>
      </c>
      <c r="E73" s="17" t="s">
        <v>51</v>
      </c>
    </row>
    <row r="74" spans="1:5" ht="29" x14ac:dyDescent="0.35">
      <c r="A74" s="14">
        <v>70</v>
      </c>
      <c r="B74" s="14" t="s">
        <v>917</v>
      </c>
      <c r="C74" s="24" t="s">
        <v>1106</v>
      </c>
      <c r="D74" s="24" t="s">
        <v>1107</v>
      </c>
      <c r="E74" s="17" t="s">
        <v>51</v>
      </c>
    </row>
    <row r="75" spans="1:5" ht="29" x14ac:dyDescent="0.35">
      <c r="A75" s="13">
        <v>71</v>
      </c>
      <c r="B75" s="13" t="s">
        <v>917</v>
      </c>
      <c r="C75" s="23" t="s">
        <v>1108</v>
      </c>
      <c r="D75" s="23" t="s">
        <v>1109</v>
      </c>
      <c r="E75" s="17" t="s">
        <v>51</v>
      </c>
    </row>
    <row r="76" spans="1:5" ht="29" x14ac:dyDescent="0.35">
      <c r="A76" s="14">
        <v>72</v>
      </c>
      <c r="B76" s="14" t="s">
        <v>914</v>
      </c>
      <c r="C76" s="24" t="s">
        <v>1110</v>
      </c>
      <c r="D76" s="24" t="s">
        <v>1111</v>
      </c>
      <c r="E76" s="18" t="s">
        <v>63</v>
      </c>
    </row>
    <row r="77" spans="1:5" ht="29" x14ac:dyDescent="0.35">
      <c r="A77" s="13">
        <v>73</v>
      </c>
      <c r="B77" s="13" t="s">
        <v>746</v>
      </c>
      <c r="C77" s="23" t="s">
        <v>1112</v>
      </c>
      <c r="D77" s="23" t="s">
        <v>1113</v>
      </c>
      <c r="E77" s="17" t="s">
        <v>51</v>
      </c>
    </row>
    <row r="78" spans="1:5" ht="29" x14ac:dyDescent="0.35">
      <c r="A78" s="14">
        <v>74</v>
      </c>
      <c r="B78" s="14" t="s">
        <v>746</v>
      </c>
      <c r="C78" s="24" t="s">
        <v>1114</v>
      </c>
      <c r="D78" s="24" t="s">
        <v>1115</v>
      </c>
      <c r="E78" s="17" t="s">
        <v>51</v>
      </c>
    </row>
    <row r="79" spans="1:5" ht="29" x14ac:dyDescent="0.35">
      <c r="A79" s="13">
        <v>75</v>
      </c>
      <c r="B79" s="13" t="s">
        <v>746</v>
      </c>
      <c r="C79" s="23" t="s">
        <v>1116</v>
      </c>
      <c r="D79" s="23" t="s">
        <v>1117</v>
      </c>
      <c r="E79" s="17" t="s">
        <v>51</v>
      </c>
    </row>
    <row r="80" spans="1:5" ht="29" x14ac:dyDescent="0.35">
      <c r="A80" s="14">
        <v>76</v>
      </c>
      <c r="B80" s="14" t="s">
        <v>746</v>
      </c>
      <c r="C80" s="24" t="s">
        <v>1118</v>
      </c>
      <c r="D80" s="24" t="s">
        <v>1119</v>
      </c>
      <c r="E80" s="17" t="s">
        <v>51</v>
      </c>
    </row>
    <row r="81" spans="1:5" ht="29" x14ac:dyDescent="0.35">
      <c r="A81" s="13">
        <v>77</v>
      </c>
      <c r="B81" s="13" t="s">
        <v>746</v>
      </c>
      <c r="C81" s="23" t="s">
        <v>1120</v>
      </c>
      <c r="D81" s="23" t="s">
        <v>1121</v>
      </c>
      <c r="E81" s="17" t="s">
        <v>51</v>
      </c>
    </row>
    <row r="82" spans="1:5" ht="29" x14ac:dyDescent="0.35">
      <c r="A82" s="14">
        <v>78</v>
      </c>
      <c r="B82" s="14" t="s">
        <v>746</v>
      </c>
      <c r="C82" s="24" t="s">
        <v>1122</v>
      </c>
      <c r="D82" s="24" t="s">
        <v>1123</v>
      </c>
      <c r="E82" s="17" t="s">
        <v>51</v>
      </c>
    </row>
    <row r="83" spans="1:5" ht="29" x14ac:dyDescent="0.35">
      <c r="A83" s="13">
        <v>79</v>
      </c>
      <c r="B83" s="13" t="s">
        <v>746</v>
      </c>
      <c r="C83" s="23" t="s">
        <v>1124</v>
      </c>
      <c r="D83" s="23" t="s">
        <v>1125</v>
      </c>
      <c r="E83" s="17" t="s">
        <v>51</v>
      </c>
    </row>
    <row r="84" spans="1:5" ht="29" x14ac:dyDescent="0.35">
      <c r="A84" s="14">
        <v>80</v>
      </c>
      <c r="B84" s="14" t="s">
        <v>746</v>
      </c>
      <c r="C84" s="24" t="s">
        <v>1126</v>
      </c>
      <c r="D84" s="24" t="s">
        <v>1127</v>
      </c>
      <c r="E84" s="17" t="s">
        <v>51</v>
      </c>
    </row>
    <row r="85" spans="1:5" ht="29" x14ac:dyDescent="0.35">
      <c r="A85" s="13">
        <v>81</v>
      </c>
      <c r="B85" s="13" t="s">
        <v>746</v>
      </c>
      <c r="C85" s="23" t="s">
        <v>1128</v>
      </c>
      <c r="D85" s="23" t="s">
        <v>1129</v>
      </c>
      <c r="E85" s="17" t="s">
        <v>51</v>
      </c>
    </row>
    <row r="86" spans="1:5" ht="29" x14ac:dyDescent="0.35">
      <c r="A86" s="14">
        <v>82</v>
      </c>
      <c r="B86" s="14" t="s">
        <v>746</v>
      </c>
      <c r="C86" s="24" t="s">
        <v>1130</v>
      </c>
      <c r="D86" s="24" t="s">
        <v>1131</v>
      </c>
      <c r="E86" s="17" t="s">
        <v>51</v>
      </c>
    </row>
    <row r="87" spans="1:5" ht="29" x14ac:dyDescent="0.35">
      <c r="A87" s="13">
        <v>83</v>
      </c>
      <c r="B87" s="13" t="s">
        <v>746</v>
      </c>
      <c r="C87" s="23" t="s">
        <v>1132</v>
      </c>
      <c r="D87" s="23" t="s">
        <v>1133</v>
      </c>
      <c r="E87" s="17" t="s">
        <v>51</v>
      </c>
    </row>
    <row r="88" spans="1:5" ht="29" x14ac:dyDescent="0.35">
      <c r="A88" s="14">
        <v>84</v>
      </c>
      <c r="B88" s="14" t="s">
        <v>746</v>
      </c>
      <c r="C88" s="24" t="s">
        <v>1134</v>
      </c>
      <c r="D88" s="24" t="s">
        <v>1135</v>
      </c>
      <c r="E88" s="17" t="s">
        <v>51</v>
      </c>
    </row>
    <row r="89" spans="1:5" ht="29" x14ac:dyDescent="0.35">
      <c r="A89" s="13">
        <v>85</v>
      </c>
      <c r="B89" s="13" t="s">
        <v>899</v>
      </c>
      <c r="C89" s="23" t="s">
        <v>1136</v>
      </c>
      <c r="D89" s="23" t="s">
        <v>1137</v>
      </c>
      <c r="E89" s="17" t="s">
        <v>51</v>
      </c>
    </row>
    <row r="90" spans="1:5" ht="29" x14ac:dyDescent="0.35">
      <c r="A90" s="14">
        <v>86</v>
      </c>
      <c r="B90" s="14" t="s">
        <v>899</v>
      </c>
      <c r="C90" s="24" t="s">
        <v>1138</v>
      </c>
      <c r="D90" s="24" t="s">
        <v>1139</v>
      </c>
      <c r="E90" s="17" t="s">
        <v>51</v>
      </c>
    </row>
    <row r="91" spans="1:5" ht="29" x14ac:dyDescent="0.35">
      <c r="A91" s="13">
        <v>87</v>
      </c>
      <c r="B91" s="13" t="s">
        <v>899</v>
      </c>
      <c r="C91" s="23" t="s">
        <v>1140</v>
      </c>
      <c r="D91" s="23" t="s">
        <v>1141</v>
      </c>
      <c r="E91" s="17" t="s">
        <v>51</v>
      </c>
    </row>
    <row r="92" spans="1:5" ht="29" x14ac:dyDescent="0.35">
      <c r="A92" s="14">
        <v>88</v>
      </c>
      <c r="B92" s="14" t="s">
        <v>1142</v>
      </c>
      <c r="C92" s="24" t="s">
        <v>1143</v>
      </c>
      <c r="D92" s="24" t="s">
        <v>1144</v>
      </c>
      <c r="E92" s="17" t="s">
        <v>51</v>
      </c>
    </row>
    <row r="93" spans="1:5" ht="29" x14ac:dyDescent="0.35">
      <c r="A93" s="13">
        <v>89</v>
      </c>
      <c r="B93" s="13" t="s">
        <v>1142</v>
      </c>
      <c r="C93" s="23" t="s">
        <v>1145</v>
      </c>
      <c r="D93" s="23" t="s">
        <v>1146</v>
      </c>
      <c r="E93" s="17" t="s">
        <v>51</v>
      </c>
    </row>
    <row r="94" spans="1:5" ht="29" x14ac:dyDescent="0.35">
      <c r="A94" s="14">
        <v>90</v>
      </c>
      <c r="B94" s="14" t="s">
        <v>1142</v>
      </c>
      <c r="C94" s="24" t="s">
        <v>1147</v>
      </c>
      <c r="D94" s="24" t="s">
        <v>1148</v>
      </c>
      <c r="E94" s="17" t="s">
        <v>51</v>
      </c>
    </row>
    <row r="95" spans="1:5" x14ac:dyDescent="0.35">
      <c r="A95" s="13">
        <v>91</v>
      </c>
      <c r="B95" s="13" t="s">
        <v>1142</v>
      </c>
      <c r="C95" s="23" t="s">
        <v>1149</v>
      </c>
      <c r="D95" s="23" t="s">
        <v>1150</v>
      </c>
      <c r="E95" s="17" t="s">
        <v>51</v>
      </c>
    </row>
    <row r="96" spans="1:5" ht="29" x14ac:dyDescent="0.35">
      <c r="A96" s="14">
        <v>92</v>
      </c>
      <c r="B96" s="14" t="s">
        <v>1142</v>
      </c>
      <c r="C96" s="24" t="s">
        <v>1151</v>
      </c>
      <c r="D96" s="24" t="s">
        <v>1152</v>
      </c>
      <c r="E96" s="17" t="s">
        <v>51</v>
      </c>
    </row>
    <row r="97" spans="1:5" ht="29" x14ac:dyDescent="0.35">
      <c r="A97" s="13">
        <v>93</v>
      </c>
      <c r="B97" s="13" t="s">
        <v>953</v>
      </c>
      <c r="C97" s="23" t="s">
        <v>1153</v>
      </c>
      <c r="D97" s="23" t="s">
        <v>1154</v>
      </c>
      <c r="E97" s="17" t="s">
        <v>51</v>
      </c>
    </row>
    <row r="98" spans="1:5" ht="29" x14ac:dyDescent="0.35">
      <c r="A98" s="14">
        <v>94</v>
      </c>
      <c r="B98" s="14" t="s">
        <v>953</v>
      </c>
      <c r="C98" s="24" t="s">
        <v>1155</v>
      </c>
      <c r="D98" s="24" t="s">
        <v>1156</v>
      </c>
      <c r="E98" s="17" t="s">
        <v>51</v>
      </c>
    </row>
    <row r="99" spans="1:5" ht="29" x14ac:dyDescent="0.35">
      <c r="A99" s="13">
        <v>95</v>
      </c>
      <c r="B99" s="13" t="s">
        <v>953</v>
      </c>
      <c r="C99" s="23" t="s">
        <v>1157</v>
      </c>
      <c r="D99" s="23" t="s">
        <v>1158</v>
      </c>
      <c r="E99" s="17" t="s">
        <v>51</v>
      </c>
    </row>
    <row r="100" spans="1:5" ht="29" x14ac:dyDescent="0.35">
      <c r="A100" s="14">
        <v>96</v>
      </c>
      <c r="B100" s="14" t="s">
        <v>893</v>
      </c>
      <c r="C100" s="24" t="s">
        <v>1159</v>
      </c>
      <c r="D100" s="24" t="s">
        <v>1160</v>
      </c>
      <c r="E100" s="17" t="s">
        <v>51</v>
      </c>
    </row>
    <row r="101" spans="1:5" ht="29" x14ac:dyDescent="0.35">
      <c r="A101" s="13">
        <v>97</v>
      </c>
      <c r="B101" s="13" t="s">
        <v>893</v>
      </c>
      <c r="C101" s="23" t="s">
        <v>1161</v>
      </c>
      <c r="D101" s="23" t="s">
        <v>1162</v>
      </c>
      <c r="E101" s="17" t="s">
        <v>51</v>
      </c>
    </row>
    <row r="102" spans="1:5" ht="29" x14ac:dyDescent="0.35">
      <c r="A102" s="14">
        <v>98</v>
      </c>
      <c r="B102" s="14" t="s">
        <v>893</v>
      </c>
      <c r="C102" s="24" t="s">
        <v>1163</v>
      </c>
      <c r="D102" s="24" t="s">
        <v>1164</v>
      </c>
      <c r="E102" s="17" t="s">
        <v>51</v>
      </c>
    </row>
    <row r="103" spans="1:5" ht="29" x14ac:dyDescent="0.35">
      <c r="A103" s="13">
        <v>99</v>
      </c>
      <c r="B103" s="13" t="s">
        <v>896</v>
      </c>
      <c r="C103" s="23" t="s">
        <v>1165</v>
      </c>
      <c r="D103" s="23" t="s">
        <v>1166</v>
      </c>
      <c r="E103" s="17" t="s">
        <v>51</v>
      </c>
    </row>
    <row r="104" spans="1:5" ht="29" x14ac:dyDescent="0.35">
      <c r="A104" s="14">
        <v>100</v>
      </c>
      <c r="B104" s="14" t="s">
        <v>896</v>
      </c>
      <c r="C104" s="24" t="s">
        <v>1167</v>
      </c>
      <c r="D104" s="24" t="s">
        <v>1168</v>
      </c>
      <c r="E104" s="17" t="s">
        <v>51</v>
      </c>
    </row>
  </sheetData>
  <autoFilter ref="A4:E104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Summary Dashboard</vt:lpstr>
      <vt:lpstr>🧪 Testing Tracker</vt:lpstr>
      <vt:lpstr>🔍 Expected Issues</vt:lpstr>
      <vt:lpstr>👥 Adoption Tracker</vt:lpstr>
      <vt:lpstr>🎯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Hijazi</cp:lastModifiedBy>
  <dcterms:created xsi:type="dcterms:W3CDTF">2026-04-10T21:40:30Z</dcterms:created>
  <dcterms:modified xsi:type="dcterms:W3CDTF">2026-04-10T23:11:53Z</dcterms:modified>
</cp:coreProperties>
</file>